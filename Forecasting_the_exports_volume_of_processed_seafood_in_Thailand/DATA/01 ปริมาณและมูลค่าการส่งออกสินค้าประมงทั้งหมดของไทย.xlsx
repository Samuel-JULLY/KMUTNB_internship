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9 บทความวิจัย\2568_05_Journal of Advances in Information Technology_Forecasting the exports volume of processed seafood in Thailand\02 Data\"/>
    </mc:Choice>
  </mc:AlternateContent>
  <xr:revisionPtr revIDLastSave="0" documentId="13_ncr:1_{E64D9C01-A221-4A80-85D1-23A3A3E1E378}" xr6:coauthVersionLast="47" xr6:coauthVersionMax="47" xr10:uidLastSave="{00000000-0000-0000-0000-000000000000}"/>
  <bookViews>
    <workbookView xWindow="-108" yWindow="-108" windowWidth="23256" windowHeight="12576" activeTab="2" xr2:uid="{DADE5A8E-D55A-47D1-B358-B384719D077E}"/>
  </bookViews>
  <sheets>
    <sheet name="Quantity Value" sheetId="2" r:id="rId1"/>
    <sheet name="Quantity of Aquatic Animals" sheetId="3" r:id="rId2"/>
    <sheet name="Exchange Rat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3" l="1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6" i="3"/>
</calcChain>
</file>

<file path=xl/sharedStrings.xml><?xml version="1.0" encoding="utf-8"?>
<sst xmlns="http://schemas.openxmlformats.org/spreadsheetml/2006/main" count="154" uniqueCount="84">
  <si>
    <t>กุ้งปรุงแต่งหรือทำไว้ไม่ให้เสีย</t>
  </si>
  <si>
    <t>รวม</t>
  </si>
  <si>
    <t>หมึกสดแช่เย็นแช่แข็ง</t>
  </si>
  <si>
    <t>หมึกแห้ง</t>
  </si>
  <si>
    <t>หมึกแปรรูปหรือปรุงแต่ง</t>
  </si>
  <si>
    <t>ปลาแห้ง</t>
  </si>
  <si>
    <t>ทูน่ากระป๋อง</t>
  </si>
  <si>
    <t>ซาร์ดีนกระป๋อง</t>
  </si>
  <si>
    <t>ปลากระป๋องอื่นๆ</t>
  </si>
  <si>
    <t>ปูกระป๋อง</t>
  </si>
  <si>
    <t>อาหารทะเลกระป๋องอื่นๆ</t>
  </si>
  <si>
    <t>อาหารสุนัขและแมวกระป๋อง</t>
  </si>
  <si>
    <t>ผลิตภัณฑ์อาหารทะเลแปรรูป</t>
  </si>
  <si>
    <t>ผลิตภัณฑ์ทูน่าแปรรูป</t>
  </si>
  <si>
    <t>ปูที่ปรุงแต่งหรือทำไว้ไม่ให้เสีย</t>
  </si>
  <si>
    <t>สินค้าประมงอื่นๆ</t>
  </si>
  <si>
    <t>Month</t>
  </si>
  <si>
    <t>No.</t>
  </si>
  <si>
    <t>Year (พ.ศ.)</t>
  </si>
  <si>
    <t>Year (ค.ศ.)</t>
  </si>
  <si>
    <t>Chilled/Frozen Fresh Shrimp</t>
  </si>
  <si>
    <t>Dried Shrimp</t>
  </si>
  <si>
    <t>Boiled or Steamed Shrimp</t>
  </si>
  <si>
    <t>Shrimp in Airtight Containers</t>
  </si>
  <si>
    <t>Preserved or Processed Shrimp</t>
  </si>
  <si>
    <t>Total</t>
  </si>
  <si>
    <t xml:space="preserve">กุ้งแห้ง </t>
  </si>
  <si>
    <t xml:space="preserve">กุ้งต้มหรือนึ่ง </t>
  </si>
  <si>
    <t xml:space="preserve">กุ้งบรรจุภาชนะที่อากาศผ่านเข้าออกไม่ได้ </t>
  </si>
  <si>
    <t xml:space="preserve">กุ้งสดแช่เย็น/แช่แข็ง </t>
  </si>
  <si>
    <t>กุ้ง (Shrimp)</t>
  </si>
  <si>
    <t>Quantity (Tons)</t>
  </si>
  <si>
    <t>Value (Million Baht)</t>
  </si>
  <si>
    <t>Chilled/Frozen Fresh Squid</t>
  </si>
  <si>
    <t>Dried Squid</t>
  </si>
  <si>
    <t>Processed or Preserved Squid</t>
  </si>
  <si>
    <t>หมึก (Squid)</t>
  </si>
  <si>
    <t>Chilled/Frozen Fresh Fish (including liver and roe)</t>
  </si>
  <si>
    <t>Chilled/Frozen Fish Fillets</t>
  </si>
  <si>
    <t>Dried Fish</t>
  </si>
  <si>
    <t>Live Fish and Fish Breeding Stock</t>
  </si>
  <si>
    <t>ปลา (Fish)</t>
  </si>
  <si>
    <t>ปลาสดแช่เย็น/แช่แข็ง (รวมตับและไข่)</t>
  </si>
  <si>
    <t>เนื้อปลาสดแช่เย็น/แช่แข็ง</t>
  </si>
  <si>
    <t xml:space="preserve"> ปลามีชีวิตและพันธุ์ปลา</t>
  </si>
  <si>
    <t>Canned Tuna</t>
  </si>
  <si>
    <t>Canned Sardines</t>
  </si>
  <si>
    <t>Other Canned Fish</t>
  </si>
  <si>
    <t>Canned Crab</t>
  </si>
  <si>
    <t>Other Canned Seafood</t>
  </si>
  <si>
    <t>อาหารกระป๋อง (Canned Products)</t>
  </si>
  <si>
    <t>Other Processed Seafood Products</t>
  </si>
  <si>
    <t>Canned Dog and Cat Food</t>
  </si>
  <si>
    <t>Processed Seafood Products</t>
  </si>
  <si>
    <t>Processed Tuna Products</t>
  </si>
  <si>
    <t>Preserved or Processed Crab</t>
  </si>
  <si>
    <t>Other Fishery Products</t>
  </si>
  <si>
    <t>Product Category</t>
  </si>
  <si>
    <t xml:space="preserve">Other </t>
  </si>
  <si>
    <t>Grand Total</t>
  </si>
  <si>
    <t>หมึกรมควัน</t>
  </si>
  <si>
    <t>Smoked squid</t>
  </si>
  <si>
    <t>รายงานปริมาณและมูลค่าการส่งออกสินค้าประมงทั้งหมดของไทย (A report on the export volume and value of all Thai fishery products)</t>
  </si>
  <si>
    <t>ปริมาณสัตว์น้ำ (Quantity of Aquatic Animals)</t>
  </si>
  <si>
    <t xml:space="preserve">Year </t>
  </si>
  <si>
    <t>Quantity of Aquatic Animals (Unit: 1,000 Metric Tons)</t>
  </si>
  <si>
    <t>ปริมาณปลาทะเล</t>
  </si>
  <si>
    <t>ปริมาณกุ้งทะเล</t>
  </si>
  <si>
    <t>ปริมาณปูทะเล</t>
  </si>
  <si>
    <t>ปริมาณหมึกทะเล</t>
  </si>
  <si>
    <t>ปริมาณหอยทะเล</t>
  </si>
  <si>
    <t>ปริมาณสัตว์ทะเลอื่น</t>
  </si>
  <si>
    <t>Marine Fish</t>
  </si>
  <si>
    <t>Marine Shrimp</t>
  </si>
  <si>
    <t>Marine Crabs</t>
  </si>
  <si>
    <t>Marine Squid</t>
  </si>
  <si>
    <t>Marine Shellfish</t>
  </si>
  <si>
    <t>Other MarineAnimals</t>
  </si>
  <si>
    <t>อัตราแลกเปลี่ยนเงินตรา (Exchange Rate)</t>
  </si>
  <si>
    <t>USD/THB</t>
  </si>
  <si>
    <t>Average</t>
  </si>
  <si>
    <t>Max</t>
  </si>
  <si>
    <t>Min</t>
  </si>
  <si>
    <t>Business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</si>
</sst>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23" x14ac:knownFonts="1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1"/>
      <color theme="1"/>
      <name val="TH SarabunPSK"/>
      <family val="2"/>
    </font>
    <font>
      <sz val="11"/>
      <color theme="1"/>
      <name val="Arial"/>
      <family val="2"/>
    </font>
    <font>
      <sz val="14"/>
      <name val="TH SarabunPSK"/>
      <family val="2"/>
    </font>
    <font>
      <sz val="11"/>
      <name val="TH SarabunPSK"/>
      <family val="2"/>
    </font>
    <font>
      <b/>
      <sz val="14"/>
      <color rgb="FFFF0000"/>
      <name val="TH SarabunPSK"/>
      <family val="2"/>
      <charset val="222"/>
    </font>
    <font>
      <sz val="14"/>
      <color rgb="FFFF0000"/>
      <name val="TH SarabunPSK"/>
      <family val="2"/>
      <charset val="222"/>
    </font>
    <font>
      <sz val="11"/>
      <color rgb="FFFF0000"/>
      <name val="TH SarabunPSK"/>
      <family val="2"/>
      <charset val="222"/>
    </font>
    <font>
      <sz val="11"/>
      <color rgb="FFFF0000"/>
      <name val="Arial"/>
      <family val="2"/>
      <charset val="222"/>
    </font>
    <font>
      <sz val="14"/>
      <color rgb="FFFF0000"/>
      <name val="TH SarabunPSK"/>
      <family val="2"/>
    </font>
    <font>
      <sz val="14"/>
      <color theme="8" tint="-0.249977111117893"/>
      <name val="TH SarabunPSK"/>
      <family val="2"/>
      <charset val="222"/>
    </font>
    <font>
      <b/>
      <sz val="14"/>
      <color theme="8" tint="-0.249977111117893"/>
      <name val="TH SarabunPSK"/>
      <family val="2"/>
      <charset val="222"/>
    </font>
    <font>
      <sz val="11"/>
      <color theme="8" tint="-0.249977111117893"/>
      <name val="TH SarabunPSK"/>
      <family val="2"/>
      <charset val="222"/>
    </font>
    <font>
      <sz val="11"/>
      <color theme="8" tint="-0.249977111117893"/>
      <name val="Arial"/>
      <family val="2"/>
      <charset val="222"/>
    </font>
    <font>
      <b/>
      <sz val="20"/>
      <color rgb="FF000000"/>
      <name val="TH SarabunPSK"/>
      <family val="2"/>
    </font>
    <font>
      <sz val="20"/>
      <color theme="1"/>
      <name val="TH SarabunPSK"/>
      <family val="2"/>
    </font>
    <font>
      <sz val="20"/>
      <color rgb="FFFF0000"/>
      <name val="TH SarabunPSK"/>
      <family val="2"/>
    </font>
    <font>
      <sz val="20"/>
      <color theme="8" tint="-0.249977111117893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0" tint="-4.9989318521683403E-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8">
    <xf numFmtId="0" fontId="0" fillId="0" borderId="0" xfId="0"/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 shrinkToFi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 shrinkToFit="1"/>
    </xf>
    <xf numFmtId="0" fontId="2" fillId="9" borderId="1" xfId="0" applyFont="1" applyFill="1" applyBorder="1" applyAlignment="1">
      <alignment vertical="center"/>
    </xf>
    <xf numFmtId="4" fontId="2" fillId="9" borderId="1" xfId="0" applyNumberFormat="1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4" fontId="7" fillId="10" borderId="5" xfId="0" applyNumberFormat="1" applyFont="1" applyFill="1" applyBorder="1" applyAlignment="1">
      <alignment horizontal="right" vertical="center"/>
    </xf>
    <xf numFmtId="0" fontId="7" fillId="10" borderId="5" xfId="0" applyFont="1" applyFill="1" applyBorder="1" applyAlignment="1">
      <alignment horizontal="right" vertical="center"/>
    </xf>
    <xf numFmtId="0" fontId="6" fillId="11" borderId="1" xfId="0" applyFont="1" applyFill="1" applyBorder="1" applyAlignment="1">
      <alignment vertical="center"/>
    </xf>
    <xf numFmtId="4" fontId="7" fillId="11" borderId="5" xfId="0" applyNumberFormat="1" applyFont="1" applyFill="1" applyBorder="1" applyAlignment="1">
      <alignment horizontal="right" vertical="center"/>
    </xf>
    <xf numFmtId="0" fontId="7" fillId="11" borderId="5" xfId="0" applyFont="1" applyFill="1" applyBorder="1" applyAlignment="1">
      <alignment horizontal="right" vertical="center"/>
    </xf>
    <xf numFmtId="0" fontId="6" fillId="12" borderId="1" xfId="0" applyFont="1" applyFill="1" applyBorder="1" applyAlignment="1">
      <alignment vertical="center"/>
    </xf>
    <xf numFmtId="4" fontId="7" fillId="12" borderId="5" xfId="0" applyNumberFormat="1" applyFont="1" applyFill="1" applyBorder="1" applyAlignment="1">
      <alignment horizontal="right" vertical="center"/>
    </xf>
    <xf numFmtId="0" fontId="7" fillId="12" borderId="5" xfId="0" applyFont="1" applyFill="1" applyBorder="1" applyAlignment="1">
      <alignment horizontal="right" vertical="center"/>
    </xf>
    <xf numFmtId="0" fontId="6" fillId="13" borderId="1" xfId="0" applyFont="1" applyFill="1" applyBorder="1" applyAlignment="1">
      <alignment vertical="center"/>
    </xf>
    <xf numFmtId="4" fontId="7" fillId="13" borderId="5" xfId="0" applyNumberFormat="1" applyFont="1" applyFill="1" applyBorder="1" applyAlignment="1">
      <alignment horizontal="right" vertical="center"/>
    </xf>
    <xf numFmtId="0" fontId="7" fillId="13" borderId="5" xfId="0" applyFont="1" applyFill="1" applyBorder="1" applyAlignment="1">
      <alignment horizontal="right" vertical="center"/>
    </xf>
    <xf numFmtId="0" fontId="6" fillId="14" borderId="1" xfId="0" applyFont="1" applyFill="1" applyBorder="1" applyAlignment="1">
      <alignment vertical="center"/>
    </xf>
    <xf numFmtId="4" fontId="7" fillId="14" borderId="5" xfId="0" applyNumberFormat="1" applyFont="1" applyFill="1" applyBorder="1" applyAlignment="1">
      <alignment horizontal="right" vertical="center"/>
    </xf>
    <xf numFmtId="0" fontId="7" fillId="14" borderId="5" xfId="0" applyFont="1" applyFill="1" applyBorder="1" applyAlignment="1">
      <alignment horizontal="right" vertical="center"/>
    </xf>
    <xf numFmtId="0" fontId="7" fillId="14" borderId="7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1" fillId="14" borderId="5" xfId="0" applyFont="1" applyFill="1" applyBorder="1" applyAlignment="1">
      <alignment horizontal="right" vertical="center"/>
    </xf>
    <xf numFmtId="0" fontId="6" fillId="15" borderId="1" xfId="0" applyFont="1" applyFill="1" applyBorder="1" applyAlignment="1">
      <alignment vertical="center"/>
    </xf>
    <xf numFmtId="4" fontId="7" fillId="15" borderId="8" xfId="0" applyNumberFormat="1" applyFont="1" applyFill="1" applyBorder="1" applyAlignment="1">
      <alignment horizontal="right" vertical="center"/>
    </xf>
    <xf numFmtId="4" fontId="7" fillId="15" borderId="1" xfId="0" applyNumberFormat="1" applyFont="1" applyFill="1" applyBorder="1" applyAlignment="1">
      <alignment horizontal="right" vertical="center"/>
    </xf>
    <xf numFmtId="4" fontId="7" fillId="15" borderId="9" xfId="0" applyNumberFormat="1" applyFont="1" applyFill="1" applyBorder="1" applyAlignment="1">
      <alignment horizontal="right" vertical="center"/>
    </xf>
    <xf numFmtId="0" fontId="7" fillId="15" borderId="6" xfId="0" applyFont="1" applyFill="1" applyBorder="1" applyAlignment="1">
      <alignment horizontal="right" vertical="center"/>
    </xf>
    <xf numFmtId="0" fontId="7" fillId="15" borderId="5" xfId="0" applyFont="1" applyFill="1" applyBorder="1" applyAlignment="1">
      <alignment horizontal="right" vertical="center"/>
    </xf>
    <xf numFmtId="4" fontId="7" fillId="15" borderId="5" xfId="0" applyNumberFormat="1" applyFont="1" applyFill="1" applyBorder="1" applyAlignment="1">
      <alignment horizontal="right" vertical="center"/>
    </xf>
    <xf numFmtId="0" fontId="7" fillId="15" borderId="9" xfId="0" applyFont="1" applyFill="1" applyBorder="1" applyAlignment="1">
      <alignment horizontal="right" vertical="center"/>
    </xf>
    <xf numFmtId="0" fontId="7" fillId="15" borderId="8" xfId="0" applyFont="1" applyFill="1" applyBorder="1" applyAlignment="1">
      <alignment horizontal="right" vertical="center"/>
    </xf>
    <xf numFmtId="187" fontId="7" fillId="15" borderId="5" xfId="0" applyNumberFormat="1" applyFont="1" applyFill="1" applyBorder="1" applyAlignment="1">
      <alignment horizontal="right" vertical="center"/>
    </xf>
    <xf numFmtId="4" fontId="7" fillId="15" borderId="14" xfId="0" applyNumberFormat="1" applyFont="1" applyFill="1" applyBorder="1" applyAlignment="1">
      <alignment horizontal="right" vertical="center"/>
    </xf>
    <xf numFmtId="0" fontId="6" fillId="16" borderId="1" xfId="0" applyFont="1" applyFill="1" applyBorder="1" applyAlignment="1">
      <alignment vertical="center"/>
    </xf>
    <xf numFmtId="4" fontId="7" fillId="16" borderId="5" xfId="0" applyNumberFormat="1" applyFont="1" applyFill="1" applyBorder="1" applyAlignment="1">
      <alignment horizontal="right" vertical="center"/>
    </xf>
    <xf numFmtId="0" fontId="7" fillId="16" borderId="5" xfId="0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6" fillId="17" borderId="1" xfId="0" applyFont="1" applyFill="1" applyBorder="1" applyAlignment="1">
      <alignment vertical="center"/>
    </xf>
    <xf numFmtId="4" fontId="7" fillId="17" borderId="5" xfId="0" applyNumberFormat="1" applyFont="1" applyFill="1" applyBorder="1" applyAlignment="1">
      <alignment horizontal="right" vertical="center"/>
    </xf>
    <xf numFmtId="0" fontId="7" fillId="17" borderId="5" xfId="0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4" fontId="7" fillId="9" borderId="5" xfId="0" applyNumberFormat="1" applyFont="1" applyFill="1" applyBorder="1" applyAlignment="1">
      <alignment horizontal="right" vertical="center"/>
    </xf>
    <xf numFmtId="0" fontId="7" fillId="9" borderId="5" xfId="0" applyFont="1" applyFill="1" applyBorder="1" applyAlignment="1">
      <alignment horizontal="right" vertical="center"/>
    </xf>
    <xf numFmtId="0" fontId="7" fillId="9" borderId="8" xfId="0" applyFont="1" applyFill="1" applyBorder="1" applyAlignment="1">
      <alignment horizontal="right" vertical="center"/>
    </xf>
    <xf numFmtId="4" fontId="7" fillId="10" borderId="7" xfId="0" applyNumberFormat="1" applyFont="1" applyFill="1" applyBorder="1" applyAlignment="1">
      <alignment horizontal="right" vertical="center"/>
    </xf>
    <xf numFmtId="0" fontId="7" fillId="10" borderId="1" xfId="0" applyFont="1" applyFill="1" applyBorder="1" applyAlignment="1">
      <alignment horizontal="right" vertical="center"/>
    </xf>
    <xf numFmtId="0" fontId="7" fillId="10" borderId="6" xfId="0" applyFont="1" applyFill="1" applyBorder="1" applyAlignment="1">
      <alignment horizontal="right" vertical="center"/>
    </xf>
    <xf numFmtId="0" fontId="7" fillId="10" borderId="7" xfId="0" applyFont="1" applyFill="1" applyBorder="1" applyAlignment="1">
      <alignment horizontal="right" vertical="center"/>
    </xf>
    <xf numFmtId="4" fontId="7" fillId="10" borderId="6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vertical="center" wrapText="1" shrinkToFit="1"/>
    </xf>
    <xf numFmtId="0" fontId="6" fillId="10" borderId="1" xfId="0" applyFont="1" applyFill="1" applyBorder="1" applyAlignment="1">
      <alignment vertical="center" wrapText="1"/>
    </xf>
    <xf numFmtId="4" fontId="7" fillId="13" borderId="7" xfId="0" applyNumberFormat="1" applyFont="1" applyFill="1" applyBorder="1" applyAlignment="1">
      <alignment horizontal="right" vertical="center"/>
    </xf>
    <xf numFmtId="0" fontId="7" fillId="13" borderId="6" xfId="0" applyFont="1" applyFill="1" applyBorder="1" applyAlignment="1">
      <alignment horizontal="right" vertical="center"/>
    </xf>
    <xf numFmtId="4" fontId="7" fillId="13" borderId="6" xfId="0" applyNumberFormat="1" applyFont="1" applyFill="1" applyBorder="1" applyAlignment="1">
      <alignment horizontal="right" vertical="center"/>
    </xf>
    <xf numFmtId="0" fontId="6" fillId="13" borderId="1" xfId="0" applyFont="1" applyFill="1" applyBorder="1" applyAlignment="1">
      <alignment vertical="center" wrapText="1" shrinkToFit="1"/>
    </xf>
    <xf numFmtId="4" fontId="7" fillId="14" borderId="7" xfId="0" applyNumberFormat="1" applyFont="1" applyFill="1" applyBorder="1" applyAlignment="1">
      <alignment horizontal="right" vertical="center"/>
    </xf>
    <xf numFmtId="0" fontId="6" fillId="14" borderId="1" xfId="0" applyFont="1" applyFill="1" applyBorder="1" applyAlignment="1">
      <alignment vertical="center" wrapText="1" shrinkToFit="1"/>
    </xf>
    <xf numFmtId="0" fontId="7" fillId="14" borderId="6" xfId="0" applyFont="1" applyFill="1" applyBorder="1" applyAlignment="1">
      <alignment horizontal="right" vertical="center"/>
    </xf>
    <xf numFmtId="4" fontId="7" fillId="14" borderId="6" xfId="0" applyNumberFormat="1" applyFont="1" applyFill="1" applyBorder="1" applyAlignment="1">
      <alignment horizontal="right" vertical="center"/>
    </xf>
    <xf numFmtId="4" fontId="7" fillId="15" borderId="7" xfId="0" applyNumberFormat="1" applyFont="1" applyFill="1" applyBorder="1" applyAlignment="1">
      <alignment horizontal="right" vertical="center"/>
    </xf>
    <xf numFmtId="0" fontId="6" fillId="15" borderId="1" xfId="0" applyFont="1" applyFill="1" applyBorder="1" applyAlignment="1">
      <alignment vertical="center" wrapText="1" shrinkToFit="1"/>
    </xf>
    <xf numFmtId="4" fontId="7" fillId="15" borderId="6" xfId="0" applyNumberFormat="1" applyFont="1" applyFill="1" applyBorder="1" applyAlignment="1">
      <alignment horizontal="right" vertical="center"/>
    </xf>
    <xf numFmtId="4" fontId="7" fillId="17" borderId="7" xfId="0" applyNumberFormat="1" applyFont="1" applyFill="1" applyBorder="1" applyAlignment="1">
      <alignment horizontal="right" vertical="center"/>
    </xf>
    <xf numFmtId="0" fontId="7" fillId="17" borderId="6" xfId="0" applyFont="1" applyFill="1" applyBorder="1" applyAlignment="1">
      <alignment horizontal="right" vertical="center"/>
    </xf>
    <xf numFmtId="0" fontId="6" fillId="17" borderId="1" xfId="0" applyFont="1" applyFill="1" applyBorder="1" applyAlignment="1">
      <alignment vertical="center" wrapText="1" shrinkToFit="1"/>
    </xf>
    <xf numFmtId="4" fontId="7" fillId="17" borderId="6" xfId="0" applyNumberFormat="1" applyFont="1" applyFill="1" applyBorder="1" applyAlignment="1">
      <alignment horizontal="right" vertical="center"/>
    </xf>
    <xf numFmtId="4" fontId="7" fillId="11" borderId="7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vertical="center" wrapText="1" shrinkToFit="1"/>
    </xf>
    <xf numFmtId="0" fontId="7" fillId="11" borderId="6" xfId="0" applyFont="1" applyFill="1" applyBorder="1" applyAlignment="1">
      <alignment horizontal="right" vertical="center"/>
    </xf>
    <xf numFmtId="0" fontId="6" fillId="8" borderId="1" xfId="0" applyFont="1" applyFill="1" applyBorder="1" applyAlignment="1">
      <alignment vertical="center"/>
    </xf>
    <xf numFmtId="4" fontId="7" fillId="8" borderId="5" xfId="0" applyNumberFormat="1" applyFont="1" applyFill="1" applyBorder="1" applyAlignment="1">
      <alignment horizontal="right" vertical="center"/>
    </xf>
    <xf numFmtId="4" fontId="7" fillId="8" borderId="7" xfId="0" applyNumberFormat="1" applyFont="1" applyFill="1" applyBorder="1" applyAlignment="1">
      <alignment horizontal="right" vertical="center"/>
    </xf>
    <xf numFmtId="0" fontId="7" fillId="8" borderId="6" xfId="0" applyFont="1" applyFill="1" applyBorder="1" applyAlignment="1">
      <alignment horizontal="right" vertical="center"/>
    </xf>
    <xf numFmtId="0" fontId="7" fillId="8" borderId="5" xfId="0" applyFont="1" applyFill="1" applyBorder="1" applyAlignment="1">
      <alignment horizontal="right" vertical="center"/>
    </xf>
    <xf numFmtId="0" fontId="6" fillId="8" borderId="1" xfId="0" applyFont="1" applyFill="1" applyBorder="1" applyAlignment="1">
      <alignment vertical="center" wrapText="1" shrinkToFit="1"/>
    </xf>
    <xf numFmtId="0" fontId="6" fillId="8" borderId="2" xfId="0" applyFont="1" applyFill="1" applyBorder="1" applyAlignment="1">
      <alignment vertical="center" wrapText="1" shrinkToFit="1"/>
    </xf>
    <xf numFmtId="0" fontId="7" fillId="8" borderId="16" xfId="0" applyFont="1" applyFill="1" applyBorder="1" applyAlignment="1">
      <alignment horizontal="right" vertical="center"/>
    </xf>
    <xf numFmtId="0" fontId="7" fillId="8" borderId="8" xfId="0" applyFont="1" applyFill="1" applyBorder="1" applyAlignment="1">
      <alignment horizontal="right" vertical="center"/>
    </xf>
    <xf numFmtId="4" fontId="5" fillId="0" borderId="15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vertical="center" wrapText="1" shrinkToFit="1"/>
    </xf>
    <xf numFmtId="0" fontId="5" fillId="0" borderId="15" xfId="0" applyFont="1" applyBorder="1" applyAlignment="1">
      <alignment horizontal="right" vertical="center"/>
    </xf>
    <xf numFmtId="0" fontId="7" fillId="14" borderId="1" xfId="0" applyFont="1" applyFill="1" applyBorder="1" applyAlignment="1">
      <alignment horizontal="right" vertical="center"/>
    </xf>
    <xf numFmtId="4" fontId="9" fillId="9" borderId="1" xfId="0" applyNumberFormat="1" applyFont="1" applyFill="1" applyBorder="1" applyAlignment="1">
      <alignment vertical="center"/>
    </xf>
    <xf numFmtId="4" fontId="10" fillId="10" borderId="5" xfId="0" applyNumberFormat="1" applyFont="1" applyFill="1" applyBorder="1" applyAlignment="1">
      <alignment horizontal="right" vertical="center"/>
    </xf>
    <xf numFmtId="4" fontId="10" fillId="11" borderId="5" xfId="0" applyNumberFormat="1" applyFont="1" applyFill="1" applyBorder="1" applyAlignment="1">
      <alignment horizontal="right" vertical="center"/>
    </xf>
    <xf numFmtId="4" fontId="10" fillId="13" borderId="5" xfId="0" applyNumberFormat="1" applyFont="1" applyFill="1" applyBorder="1" applyAlignment="1">
      <alignment horizontal="right" vertical="center"/>
    </xf>
    <xf numFmtId="4" fontId="10" fillId="12" borderId="5" xfId="0" applyNumberFormat="1" applyFont="1" applyFill="1" applyBorder="1" applyAlignment="1">
      <alignment horizontal="right" vertical="center"/>
    </xf>
    <xf numFmtId="4" fontId="10" fillId="14" borderId="5" xfId="0" applyNumberFormat="1" applyFont="1" applyFill="1" applyBorder="1" applyAlignment="1">
      <alignment horizontal="right" vertical="center"/>
    </xf>
    <xf numFmtId="4" fontId="10" fillId="15" borderId="5" xfId="0" applyNumberFormat="1" applyFont="1" applyFill="1" applyBorder="1" applyAlignment="1">
      <alignment horizontal="right" vertical="center"/>
    </xf>
    <xf numFmtId="0" fontId="10" fillId="15" borderId="5" xfId="0" applyFont="1" applyFill="1" applyBorder="1" applyAlignment="1">
      <alignment horizontal="right" vertical="center"/>
    </xf>
    <xf numFmtId="4" fontId="10" fillId="15" borderId="8" xfId="0" applyNumberFormat="1" applyFont="1" applyFill="1" applyBorder="1" applyAlignment="1">
      <alignment horizontal="right" vertical="center"/>
    </xf>
    <xf numFmtId="4" fontId="10" fillId="16" borderId="5" xfId="0" applyNumberFormat="1" applyFont="1" applyFill="1" applyBorder="1" applyAlignment="1">
      <alignment horizontal="right" vertical="center"/>
    </xf>
    <xf numFmtId="4" fontId="10" fillId="17" borderId="5" xfId="0" applyNumberFormat="1" applyFont="1" applyFill="1" applyBorder="1" applyAlignment="1">
      <alignment horizontal="right" vertical="center"/>
    </xf>
    <xf numFmtId="4" fontId="10" fillId="9" borderId="5" xfId="0" applyNumberFormat="1" applyFont="1" applyFill="1" applyBorder="1" applyAlignment="1">
      <alignment horizontal="right" vertical="center"/>
    </xf>
    <xf numFmtId="4" fontId="10" fillId="8" borderId="5" xfId="0" applyNumberFormat="1" applyFont="1" applyFill="1" applyBorder="1" applyAlignment="1">
      <alignment horizontal="right" vertical="center"/>
    </xf>
    <xf numFmtId="4" fontId="11" fillId="0" borderId="15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 wrapText="1" shrinkToFit="1"/>
    </xf>
    <xf numFmtId="0" fontId="9" fillId="0" borderId="0" xfId="0" applyFont="1" applyAlignment="1">
      <alignment vertical="center"/>
    </xf>
    <xf numFmtId="4" fontId="10" fillId="10" borderId="6" xfId="0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" fontId="16" fillId="0" borderId="15" xfId="0" applyNumberFormat="1" applyFont="1" applyBorder="1" applyAlignment="1">
      <alignment horizontal="right" vertical="center"/>
    </xf>
    <xf numFmtId="4" fontId="2" fillId="9" borderId="13" xfId="0" applyNumberFormat="1" applyFont="1" applyFill="1" applyBorder="1" applyAlignment="1">
      <alignment vertical="center"/>
    </xf>
    <xf numFmtId="4" fontId="9" fillId="9" borderId="18" xfId="0" applyNumberFormat="1" applyFont="1" applyFill="1" applyBorder="1" applyAlignment="1">
      <alignment vertical="center"/>
    </xf>
    <xf numFmtId="4" fontId="9" fillId="9" borderId="12" xfId="0" applyNumberFormat="1" applyFont="1" applyFill="1" applyBorder="1" applyAlignment="1">
      <alignment vertical="center"/>
    </xf>
    <xf numFmtId="4" fontId="2" fillId="9" borderId="17" xfId="0" applyNumberFormat="1" applyFont="1" applyFill="1" applyBorder="1" applyAlignment="1">
      <alignment vertical="center"/>
    </xf>
    <xf numFmtId="4" fontId="7" fillId="11" borderId="6" xfId="0" applyNumberFormat="1" applyFont="1" applyFill="1" applyBorder="1" applyAlignment="1">
      <alignment horizontal="right" vertical="center"/>
    </xf>
    <xf numFmtId="4" fontId="7" fillId="12" borderId="6" xfId="0" applyNumberFormat="1" applyFont="1" applyFill="1" applyBorder="1" applyAlignment="1">
      <alignment horizontal="right" vertical="center"/>
    </xf>
    <xf numFmtId="4" fontId="7" fillId="15" borderId="16" xfId="0" applyNumberFormat="1" applyFont="1" applyFill="1" applyBorder="1" applyAlignment="1">
      <alignment horizontal="right" vertical="center"/>
    </xf>
    <xf numFmtId="4" fontId="7" fillId="16" borderId="6" xfId="0" applyNumberFormat="1" applyFont="1" applyFill="1" applyBorder="1" applyAlignment="1">
      <alignment horizontal="right" vertical="center"/>
    </xf>
    <xf numFmtId="4" fontId="7" fillId="9" borderId="6" xfId="0" applyNumberFormat="1" applyFont="1" applyFill="1" applyBorder="1" applyAlignment="1">
      <alignment horizontal="right" vertical="center"/>
    </xf>
    <xf numFmtId="4" fontId="7" fillId="8" borderId="6" xfId="0" applyNumberFormat="1" applyFont="1" applyFill="1" applyBorder="1" applyAlignment="1">
      <alignment horizontal="right" vertical="center"/>
    </xf>
    <xf numFmtId="4" fontId="10" fillId="10" borderId="19" xfId="0" applyNumberFormat="1" applyFont="1" applyFill="1" applyBorder="1" applyAlignment="1">
      <alignment horizontal="right" vertical="center"/>
    </xf>
    <xf numFmtId="4" fontId="10" fillId="11" borderId="19" xfId="0" applyNumberFormat="1" applyFont="1" applyFill="1" applyBorder="1" applyAlignment="1">
      <alignment horizontal="right" vertical="center"/>
    </xf>
    <xf numFmtId="4" fontId="10" fillId="13" borderId="19" xfId="0" applyNumberFormat="1" applyFont="1" applyFill="1" applyBorder="1" applyAlignment="1">
      <alignment horizontal="right" vertical="center"/>
    </xf>
    <xf numFmtId="4" fontId="10" fillId="12" borderId="19" xfId="0" applyNumberFormat="1" applyFont="1" applyFill="1" applyBorder="1" applyAlignment="1">
      <alignment horizontal="right" vertical="center"/>
    </xf>
    <xf numFmtId="4" fontId="10" fillId="14" borderId="19" xfId="0" applyNumberFormat="1" applyFont="1" applyFill="1" applyBorder="1" applyAlignment="1">
      <alignment horizontal="right" vertical="center"/>
    </xf>
    <xf numFmtId="4" fontId="10" fillId="15" borderId="19" xfId="0" applyNumberFormat="1" applyFont="1" applyFill="1" applyBorder="1" applyAlignment="1">
      <alignment horizontal="right" vertical="center"/>
    </xf>
    <xf numFmtId="0" fontId="10" fillId="15" borderId="19" xfId="0" applyFont="1" applyFill="1" applyBorder="1" applyAlignment="1">
      <alignment horizontal="right" vertical="center"/>
    </xf>
    <xf numFmtId="4" fontId="10" fillId="15" borderId="20" xfId="0" applyNumberFormat="1" applyFont="1" applyFill="1" applyBorder="1" applyAlignment="1">
      <alignment horizontal="right" vertical="center"/>
    </xf>
    <xf numFmtId="4" fontId="10" fillId="16" borderId="19" xfId="0" applyNumberFormat="1" applyFont="1" applyFill="1" applyBorder="1" applyAlignment="1">
      <alignment horizontal="right" vertical="center"/>
    </xf>
    <xf numFmtId="4" fontId="10" fillId="17" borderId="19" xfId="0" applyNumberFormat="1" applyFont="1" applyFill="1" applyBorder="1" applyAlignment="1">
      <alignment horizontal="right" vertical="center"/>
    </xf>
    <xf numFmtId="4" fontId="10" fillId="9" borderId="19" xfId="0" applyNumberFormat="1" applyFont="1" applyFill="1" applyBorder="1" applyAlignment="1">
      <alignment horizontal="right" vertical="center"/>
    </xf>
    <xf numFmtId="4" fontId="10" fillId="8" borderId="19" xfId="0" applyNumberFormat="1" applyFont="1" applyFill="1" applyBorder="1" applyAlignment="1">
      <alignment horizontal="right" vertical="center"/>
    </xf>
    <xf numFmtId="4" fontId="10" fillId="14" borderId="21" xfId="0" applyNumberFormat="1" applyFont="1" applyFill="1" applyBorder="1" applyAlignment="1">
      <alignment horizontal="right" vertical="center"/>
    </xf>
    <xf numFmtId="0" fontId="9" fillId="9" borderId="18" xfId="0" applyFont="1" applyFill="1" applyBorder="1" applyAlignment="1">
      <alignment vertical="center"/>
    </xf>
    <xf numFmtId="0" fontId="10" fillId="10" borderId="19" xfId="0" applyFont="1" applyFill="1" applyBorder="1" applyAlignment="1">
      <alignment horizontal="right" vertical="center"/>
    </xf>
    <xf numFmtId="0" fontId="10" fillId="11" borderId="19" xfId="0" applyFont="1" applyFill="1" applyBorder="1" applyAlignment="1">
      <alignment horizontal="right" vertical="center"/>
    </xf>
    <xf numFmtId="0" fontId="10" fillId="13" borderId="19" xfId="0" applyFont="1" applyFill="1" applyBorder="1" applyAlignment="1">
      <alignment horizontal="right" vertical="center"/>
    </xf>
    <xf numFmtId="0" fontId="10" fillId="12" borderId="19" xfId="0" applyFont="1" applyFill="1" applyBorder="1" applyAlignment="1">
      <alignment horizontal="right" vertical="center"/>
    </xf>
    <xf numFmtId="0" fontId="10" fillId="14" borderId="19" xfId="0" applyFont="1" applyFill="1" applyBorder="1" applyAlignment="1">
      <alignment horizontal="right" vertical="center"/>
    </xf>
    <xf numFmtId="0" fontId="10" fillId="15" borderId="20" xfId="0" applyFont="1" applyFill="1" applyBorder="1" applyAlignment="1">
      <alignment horizontal="right" vertical="center"/>
    </xf>
    <xf numFmtId="0" fontId="10" fillId="16" borderId="19" xfId="0" applyFont="1" applyFill="1" applyBorder="1" applyAlignment="1">
      <alignment horizontal="right" vertical="center"/>
    </xf>
    <xf numFmtId="0" fontId="10" fillId="17" borderId="19" xfId="0" applyFont="1" applyFill="1" applyBorder="1" applyAlignment="1">
      <alignment horizontal="right" vertical="center"/>
    </xf>
    <xf numFmtId="0" fontId="10" fillId="9" borderId="19" xfId="0" applyFont="1" applyFill="1" applyBorder="1" applyAlignment="1">
      <alignment horizontal="right" vertical="center"/>
    </xf>
    <xf numFmtId="0" fontId="10" fillId="8" borderId="19" xfId="0" applyFont="1" applyFill="1" applyBorder="1" applyAlignment="1">
      <alignment horizontal="right" vertical="center"/>
    </xf>
    <xf numFmtId="0" fontId="10" fillId="14" borderId="21" xfId="0" applyFont="1" applyFill="1" applyBorder="1" applyAlignment="1">
      <alignment horizontal="right" vertical="center"/>
    </xf>
    <xf numFmtId="4" fontId="9" fillId="9" borderId="4" xfId="0" applyNumberFormat="1" applyFont="1" applyFill="1" applyBorder="1" applyAlignment="1">
      <alignment vertical="center"/>
    </xf>
    <xf numFmtId="4" fontId="13" fillId="9" borderId="13" xfId="0" applyNumberFormat="1" applyFont="1" applyFill="1" applyBorder="1" applyAlignment="1">
      <alignment vertical="center"/>
    </xf>
    <xf numFmtId="4" fontId="15" fillId="10" borderId="6" xfId="0" applyNumberFormat="1" applyFont="1" applyFill="1" applyBorder="1" applyAlignment="1">
      <alignment horizontal="right" vertical="center"/>
    </xf>
    <xf numFmtId="4" fontId="15" fillId="11" borderId="6" xfId="0" applyNumberFormat="1" applyFont="1" applyFill="1" applyBorder="1" applyAlignment="1">
      <alignment horizontal="right" vertical="center"/>
    </xf>
    <xf numFmtId="4" fontId="15" fillId="13" borderId="6" xfId="0" applyNumberFormat="1" applyFont="1" applyFill="1" applyBorder="1" applyAlignment="1">
      <alignment horizontal="right" vertical="center"/>
    </xf>
    <xf numFmtId="4" fontId="15" fillId="12" borderId="6" xfId="0" applyNumberFormat="1" applyFont="1" applyFill="1" applyBorder="1" applyAlignment="1">
      <alignment horizontal="right" vertical="center"/>
    </xf>
    <xf numFmtId="4" fontId="15" fillId="14" borderId="6" xfId="0" applyNumberFormat="1" applyFont="1" applyFill="1" applyBorder="1" applyAlignment="1">
      <alignment horizontal="right" vertical="center"/>
    </xf>
    <xf numFmtId="4" fontId="15" fillId="15" borderId="6" xfId="0" applyNumberFormat="1" applyFont="1" applyFill="1" applyBorder="1" applyAlignment="1">
      <alignment horizontal="right" vertical="center"/>
    </xf>
    <xf numFmtId="0" fontId="15" fillId="15" borderId="6" xfId="0" applyFont="1" applyFill="1" applyBorder="1" applyAlignment="1">
      <alignment horizontal="right" vertical="center"/>
    </xf>
    <xf numFmtId="4" fontId="15" fillId="15" borderId="16" xfId="0" applyNumberFormat="1" applyFont="1" applyFill="1" applyBorder="1" applyAlignment="1">
      <alignment horizontal="right" vertical="center"/>
    </xf>
    <xf numFmtId="4" fontId="15" fillId="16" borderId="6" xfId="0" applyNumberFormat="1" applyFont="1" applyFill="1" applyBorder="1" applyAlignment="1">
      <alignment horizontal="right" vertical="center"/>
    </xf>
    <xf numFmtId="4" fontId="15" fillId="17" borderId="6" xfId="0" applyNumberFormat="1" applyFont="1" applyFill="1" applyBorder="1" applyAlignment="1">
      <alignment horizontal="right" vertical="center"/>
    </xf>
    <xf numFmtId="4" fontId="15" fillId="9" borderId="6" xfId="0" applyNumberFormat="1" applyFont="1" applyFill="1" applyBorder="1" applyAlignment="1">
      <alignment horizontal="right" vertical="center"/>
    </xf>
    <xf numFmtId="4" fontId="15" fillId="8" borderId="6" xfId="0" applyNumberFormat="1" applyFont="1" applyFill="1" applyBorder="1" applyAlignment="1">
      <alignment horizontal="right" vertical="center"/>
    </xf>
    <xf numFmtId="4" fontId="15" fillId="14" borderId="16" xfId="0" applyNumberFormat="1" applyFont="1" applyFill="1" applyBorder="1" applyAlignment="1">
      <alignment horizontal="right" vertical="center"/>
    </xf>
    <xf numFmtId="0" fontId="2" fillId="9" borderId="18" xfId="0" applyFont="1" applyFill="1" applyBorder="1" applyAlignment="1">
      <alignment vertical="center"/>
    </xf>
    <xf numFmtId="4" fontId="2" fillId="9" borderId="18" xfId="0" applyNumberFormat="1" applyFont="1" applyFill="1" applyBorder="1" applyAlignment="1">
      <alignment vertical="center"/>
    </xf>
    <xf numFmtId="0" fontId="7" fillId="10" borderId="19" xfId="0" applyFont="1" applyFill="1" applyBorder="1" applyAlignment="1">
      <alignment horizontal="right" vertical="center"/>
    </xf>
    <xf numFmtId="0" fontId="7" fillId="11" borderId="19" xfId="0" applyFont="1" applyFill="1" applyBorder="1" applyAlignment="1">
      <alignment horizontal="right" vertical="center"/>
    </xf>
    <xf numFmtId="0" fontId="7" fillId="13" borderId="19" xfId="0" applyFont="1" applyFill="1" applyBorder="1" applyAlignment="1">
      <alignment horizontal="right" vertical="center"/>
    </xf>
    <xf numFmtId="4" fontId="7" fillId="13" borderId="19" xfId="0" applyNumberFormat="1" applyFont="1" applyFill="1" applyBorder="1" applyAlignment="1">
      <alignment horizontal="right" vertical="center"/>
    </xf>
    <xf numFmtId="4" fontId="7" fillId="12" borderId="19" xfId="0" applyNumberFormat="1" applyFont="1" applyFill="1" applyBorder="1" applyAlignment="1">
      <alignment horizontal="right" vertical="center"/>
    </xf>
    <xf numFmtId="0" fontId="7" fillId="12" borderId="19" xfId="0" applyFont="1" applyFill="1" applyBorder="1" applyAlignment="1">
      <alignment horizontal="right" vertical="center"/>
    </xf>
    <xf numFmtId="0" fontId="7" fillId="14" borderId="19" xfId="0" applyFont="1" applyFill="1" applyBorder="1" applyAlignment="1">
      <alignment horizontal="right" vertical="center"/>
    </xf>
    <xf numFmtId="4" fontId="7" fillId="14" borderId="19" xfId="0" applyNumberFormat="1" applyFont="1" applyFill="1" applyBorder="1" applyAlignment="1">
      <alignment horizontal="right" vertical="center"/>
    </xf>
    <xf numFmtId="4" fontId="7" fillId="15" borderId="19" xfId="0" applyNumberFormat="1" applyFont="1" applyFill="1" applyBorder="1" applyAlignment="1">
      <alignment horizontal="right" vertical="center"/>
    </xf>
    <xf numFmtId="0" fontId="7" fillId="15" borderId="19" xfId="0" applyFont="1" applyFill="1" applyBorder="1" applyAlignment="1">
      <alignment horizontal="right" vertical="center"/>
    </xf>
    <xf numFmtId="4" fontId="7" fillId="15" borderId="20" xfId="0" applyNumberFormat="1" applyFont="1" applyFill="1" applyBorder="1" applyAlignment="1">
      <alignment horizontal="right" vertical="center"/>
    </xf>
    <xf numFmtId="4" fontId="7" fillId="16" borderId="19" xfId="0" applyNumberFormat="1" applyFont="1" applyFill="1" applyBorder="1" applyAlignment="1">
      <alignment horizontal="right" vertical="center"/>
    </xf>
    <xf numFmtId="4" fontId="7" fillId="17" borderId="19" xfId="0" applyNumberFormat="1" applyFont="1" applyFill="1" applyBorder="1" applyAlignment="1">
      <alignment horizontal="right" vertical="center"/>
    </xf>
    <xf numFmtId="4" fontId="7" fillId="9" borderId="19" xfId="0" applyNumberFormat="1" applyFont="1" applyFill="1" applyBorder="1" applyAlignment="1">
      <alignment horizontal="right" vertical="center"/>
    </xf>
    <xf numFmtId="4" fontId="7" fillId="10" borderId="19" xfId="0" applyNumberFormat="1" applyFont="1" applyFill="1" applyBorder="1" applyAlignment="1">
      <alignment horizontal="right" vertical="center"/>
    </xf>
    <xf numFmtId="4" fontId="7" fillId="11" borderId="19" xfId="0" applyNumberFormat="1" applyFont="1" applyFill="1" applyBorder="1" applyAlignment="1">
      <alignment horizontal="right" vertical="center"/>
    </xf>
    <xf numFmtId="4" fontId="7" fillId="8" borderId="19" xfId="0" applyNumberFormat="1" applyFont="1" applyFill="1" applyBorder="1" applyAlignment="1">
      <alignment horizontal="right" vertical="center"/>
    </xf>
    <xf numFmtId="4" fontId="7" fillId="14" borderId="21" xfId="0" applyNumberFormat="1" applyFont="1" applyFill="1" applyBorder="1" applyAlignment="1">
      <alignment horizontal="right" vertical="center"/>
    </xf>
    <xf numFmtId="4" fontId="13" fillId="9" borderId="18" xfId="0" applyNumberFormat="1" applyFont="1" applyFill="1" applyBorder="1" applyAlignment="1">
      <alignment vertical="center"/>
    </xf>
    <xf numFmtId="4" fontId="15" fillId="10" borderId="19" xfId="0" applyNumberFormat="1" applyFont="1" applyFill="1" applyBorder="1" applyAlignment="1">
      <alignment horizontal="right" vertical="center"/>
    </xf>
    <xf numFmtId="4" fontId="15" fillId="11" borderId="19" xfId="0" applyNumberFormat="1" applyFont="1" applyFill="1" applyBorder="1" applyAlignment="1">
      <alignment horizontal="right" vertical="center"/>
    </xf>
    <xf numFmtId="4" fontId="15" fillId="13" borderId="19" xfId="0" applyNumberFormat="1" applyFont="1" applyFill="1" applyBorder="1" applyAlignment="1">
      <alignment horizontal="right" vertical="center"/>
    </xf>
    <xf numFmtId="4" fontId="15" fillId="12" borderId="19" xfId="0" applyNumberFormat="1" applyFont="1" applyFill="1" applyBorder="1" applyAlignment="1">
      <alignment horizontal="right" vertical="center"/>
    </xf>
    <xf numFmtId="4" fontId="15" fillId="14" borderId="19" xfId="0" applyNumberFormat="1" applyFont="1" applyFill="1" applyBorder="1" applyAlignment="1">
      <alignment horizontal="right" vertical="center"/>
    </xf>
    <xf numFmtId="4" fontId="15" fillId="15" borderId="19" xfId="0" applyNumberFormat="1" applyFont="1" applyFill="1" applyBorder="1" applyAlignment="1">
      <alignment horizontal="right" vertical="center"/>
    </xf>
    <xf numFmtId="0" fontId="15" fillId="15" borderId="19" xfId="0" applyFont="1" applyFill="1" applyBorder="1" applyAlignment="1">
      <alignment horizontal="right" vertical="center"/>
    </xf>
    <xf numFmtId="4" fontId="15" fillId="15" borderId="20" xfId="0" applyNumberFormat="1" applyFont="1" applyFill="1" applyBorder="1" applyAlignment="1">
      <alignment horizontal="right" vertical="center"/>
    </xf>
    <xf numFmtId="4" fontId="15" fillId="16" borderId="19" xfId="0" applyNumberFormat="1" applyFont="1" applyFill="1" applyBorder="1" applyAlignment="1">
      <alignment horizontal="right" vertical="center"/>
    </xf>
    <xf numFmtId="4" fontId="15" fillId="17" borderId="19" xfId="0" applyNumberFormat="1" applyFont="1" applyFill="1" applyBorder="1" applyAlignment="1">
      <alignment horizontal="right" vertical="center"/>
    </xf>
    <xf numFmtId="4" fontId="15" fillId="9" borderId="19" xfId="0" applyNumberFormat="1" applyFont="1" applyFill="1" applyBorder="1" applyAlignment="1">
      <alignment horizontal="right" vertical="center"/>
    </xf>
    <xf numFmtId="4" fontId="15" fillId="8" borderId="19" xfId="0" applyNumberFormat="1" applyFont="1" applyFill="1" applyBorder="1" applyAlignment="1">
      <alignment horizontal="right" vertical="center"/>
    </xf>
    <xf numFmtId="4" fontId="15" fillId="14" borderId="21" xfId="0" applyNumberFormat="1" applyFont="1" applyFill="1" applyBorder="1" applyAlignment="1">
      <alignment horizontal="right" vertical="center"/>
    </xf>
    <xf numFmtId="4" fontId="7" fillId="14" borderId="30" xfId="0" applyNumberFormat="1" applyFont="1" applyFill="1" applyBorder="1" applyAlignment="1">
      <alignment horizontal="right" vertical="center"/>
    </xf>
    <xf numFmtId="4" fontId="7" fillId="14" borderId="31" xfId="0" applyNumberFormat="1" applyFont="1" applyFill="1" applyBorder="1" applyAlignment="1">
      <alignment horizontal="right" vertical="center"/>
    </xf>
    <xf numFmtId="0" fontId="7" fillId="14" borderId="32" xfId="0" applyFont="1" applyFill="1" applyBorder="1" applyAlignment="1">
      <alignment horizontal="right" vertical="center"/>
    </xf>
    <xf numFmtId="0" fontId="7" fillId="14" borderId="30" xfId="0" applyFont="1" applyFill="1" applyBorder="1" applyAlignment="1">
      <alignment horizontal="right" vertical="center"/>
    </xf>
    <xf numFmtId="4" fontId="10" fillId="14" borderId="30" xfId="0" applyNumberFormat="1" applyFont="1" applyFill="1" applyBorder="1" applyAlignment="1">
      <alignment horizontal="right" vertical="center"/>
    </xf>
    <xf numFmtId="4" fontId="7" fillId="14" borderId="32" xfId="0" applyNumberFormat="1" applyFont="1" applyFill="1" applyBorder="1" applyAlignment="1">
      <alignment horizontal="right" vertical="center"/>
    </xf>
    <xf numFmtId="0" fontId="2" fillId="9" borderId="4" xfId="0" applyFont="1" applyFill="1" applyBorder="1" applyAlignment="1">
      <alignment vertical="center"/>
    </xf>
    <xf numFmtId="4" fontId="2" fillId="9" borderId="4" xfId="0" applyNumberFormat="1" applyFont="1" applyFill="1" applyBorder="1" applyAlignment="1">
      <alignment vertical="center"/>
    </xf>
    <xf numFmtId="0" fontId="3" fillId="3" borderId="33" xfId="0" applyFont="1" applyFill="1" applyBorder="1" applyAlignment="1">
      <alignment horizontal="center" vertical="center" wrapText="1" shrinkToFit="1"/>
    </xf>
    <xf numFmtId="4" fontId="9" fillId="9" borderId="10" xfId="0" applyNumberFormat="1" applyFont="1" applyFill="1" applyBorder="1" applyAlignment="1">
      <alignment vertical="center"/>
    </xf>
    <xf numFmtId="4" fontId="2" fillId="9" borderId="35" xfId="0" applyNumberFormat="1" applyFont="1" applyFill="1" applyBorder="1" applyAlignment="1">
      <alignment vertical="center"/>
    </xf>
    <xf numFmtId="4" fontId="9" fillId="9" borderId="36" xfId="0" applyNumberFormat="1" applyFont="1" applyFill="1" applyBorder="1" applyAlignment="1">
      <alignment vertical="center"/>
    </xf>
    <xf numFmtId="4" fontId="2" fillId="9" borderId="11" xfId="0" applyNumberFormat="1" applyFont="1" applyFill="1" applyBorder="1" applyAlignment="1">
      <alignment vertical="center"/>
    </xf>
    <xf numFmtId="0" fontId="2" fillId="9" borderId="36" xfId="0" applyFont="1" applyFill="1" applyBorder="1" applyAlignment="1">
      <alignment vertical="center"/>
    </xf>
    <xf numFmtId="4" fontId="13" fillId="9" borderId="11" xfId="0" applyNumberFormat="1" applyFont="1" applyFill="1" applyBorder="1" applyAlignment="1">
      <alignment vertical="center"/>
    </xf>
    <xf numFmtId="4" fontId="13" fillId="9" borderId="36" xfId="0" applyNumberFormat="1" applyFont="1" applyFill="1" applyBorder="1" applyAlignment="1">
      <alignment vertical="center"/>
    </xf>
    <xf numFmtId="0" fontId="8" fillId="3" borderId="33" xfId="0" applyFont="1" applyFill="1" applyBorder="1" applyAlignment="1">
      <alignment horizontal="center" vertical="center" wrapText="1" shrinkToFit="1"/>
    </xf>
    <xf numFmtId="0" fontId="8" fillId="3" borderId="37" xfId="0" applyFont="1" applyFill="1" applyBorder="1" applyAlignment="1">
      <alignment horizontal="center" vertical="center" wrapText="1" shrinkToFit="1"/>
    </xf>
    <xf numFmtId="0" fontId="3" fillId="4" borderId="38" xfId="0" applyFont="1" applyFill="1" applyBorder="1" applyAlignment="1">
      <alignment horizontal="center" vertical="center" wrapText="1" shrinkToFit="1"/>
    </xf>
    <xf numFmtId="0" fontId="3" fillId="4" borderId="33" xfId="0" applyFont="1" applyFill="1" applyBorder="1" applyAlignment="1">
      <alignment horizontal="center" vertical="center" wrapText="1" shrinkToFit="1"/>
    </xf>
    <xf numFmtId="0" fontId="8" fillId="4" borderId="33" xfId="0" applyFont="1" applyFill="1" applyBorder="1" applyAlignment="1">
      <alignment horizontal="center" vertical="center" wrapText="1" shrinkToFit="1"/>
    </xf>
    <xf numFmtId="0" fontId="8" fillId="4" borderId="34" xfId="0" applyFont="1" applyFill="1" applyBorder="1" applyAlignment="1">
      <alignment horizontal="center" vertical="center" wrapText="1" shrinkToFit="1"/>
    </xf>
    <xf numFmtId="0" fontId="3" fillId="5" borderId="39" xfId="0" applyFont="1" applyFill="1" applyBorder="1" applyAlignment="1">
      <alignment horizontal="center" vertical="center" wrapText="1" shrinkToFit="1"/>
    </xf>
    <xf numFmtId="0" fontId="3" fillId="5" borderId="33" xfId="0" applyFont="1" applyFill="1" applyBorder="1" applyAlignment="1">
      <alignment horizontal="center" vertical="center" wrapText="1" shrinkToFit="1"/>
    </xf>
    <xf numFmtId="0" fontId="8" fillId="5" borderId="33" xfId="0" applyFont="1" applyFill="1" applyBorder="1" applyAlignment="1">
      <alignment horizontal="center" vertical="center" wrapText="1" shrinkToFit="1"/>
    </xf>
    <xf numFmtId="0" fontId="8" fillId="5" borderId="34" xfId="0" applyFont="1" applyFill="1" applyBorder="1" applyAlignment="1">
      <alignment horizontal="center" vertical="center" wrapText="1" shrinkToFit="1"/>
    </xf>
    <xf numFmtId="0" fontId="3" fillId="6" borderId="39" xfId="0" applyFont="1" applyFill="1" applyBorder="1" applyAlignment="1">
      <alignment horizontal="center" vertical="center" wrapText="1" shrinkToFit="1"/>
    </xf>
    <xf numFmtId="0" fontId="3" fillId="6" borderId="33" xfId="0" applyFont="1" applyFill="1" applyBorder="1" applyAlignment="1">
      <alignment horizontal="center" vertical="center" wrapText="1" shrinkToFit="1"/>
    </xf>
    <xf numFmtId="0" fontId="8" fillId="6" borderId="33" xfId="0" applyFont="1" applyFill="1" applyBorder="1" applyAlignment="1">
      <alignment horizontal="center" vertical="center" wrapText="1" shrinkToFit="1"/>
    </xf>
    <xf numFmtId="0" fontId="8" fillId="6" borderId="34" xfId="0" applyFont="1" applyFill="1" applyBorder="1" applyAlignment="1">
      <alignment horizontal="center" vertical="center" wrapText="1" shrinkToFit="1"/>
    </xf>
    <xf numFmtId="0" fontId="3" fillId="7" borderId="39" xfId="0" applyFont="1" applyFill="1" applyBorder="1" applyAlignment="1">
      <alignment horizontal="center" vertical="center" wrapText="1" shrinkToFit="1"/>
    </xf>
    <xf numFmtId="0" fontId="3" fillId="7" borderId="33" xfId="0" applyFont="1" applyFill="1" applyBorder="1" applyAlignment="1">
      <alignment horizontal="center" vertical="center" wrapText="1" shrinkToFit="1"/>
    </xf>
    <xf numFmtId="0" fontId="8" fillId="7" borderId="33" xfId="0" applyFont="1" applyFill="1" applyBorder="1" applyAlignment="1">
      <alignment horizontal="center" vertical="center" wrapText="1" shrinkToFit="1"/>
    </xf>
    <xf numFmtId="0" fontId="8" fillId="7" borderId="34" xfId="0" applyFont="1" applyFill="1" applyBorder="1" applyAlignment="1">
      <alignment horizontal="center" vertical="center" wrapText="1" shrinkToFit="1"/>
    </xf>
    <xf numFmtId="0" fontId="3" fillId="8" borderId="39" xfId="0" applyFont="1" applyFill="1" applyBorder="1" applyAlignment="1">
      <alignment horizontal="center" vertical="center" wrapText="1" shrinkToFit="1"/>
    </xf>
    <xf numFmtId="0" fontId="3" fillId="8" borderId="34" xfId="0" applyFont="1" applyFill="1" applyBorder="1" applyAlignment="1">
      <alignment horizontal="center" vertical="center" wrapText="1" shrinkToFit="1"/>
    </xf>
    <xf numFmtId="0" fontId="14" fillId="2" borderId="39" xfId="0" applyFont="1" applyFill="1" applyBorder="1" applyAlignment="1">
      <alignment horizontal="center" vertical="center" wrapText="1" shrinkToFit="1"/>
    </xf>
    <xf numFmtId="0" fontId="14" fillId="2" borderId="34" xfId="0" applyFont="1" applyFill="1" applyBorder="1" applyAlignment="1">
      <alignment horizontal="center" vertical="center" wrapText="1" shrinkToFit="1"/>
    </xf>
    <xf numFmtId="0" fontId="3" fillId="3" borderId="39" xfId="0" applyFont="1" applyFill="1" applyBorder="1" applyAlignment="1">
      <alignment horizontal="center" vertical="center" wrapText="1" shrinkToFit="1"/>
    </xf>
    <xf numFmtId="4" fontId="7" fillId="15" borderId="44" xfId="0" applyNumberFormat="1" applyFont="1" applyFill="1" applyBorder="1" applyAlignment="1">
      <alignment horizontal="right" vertical="center"/>
    </xf>
    <xf numFmtId="0" fontId="7" fillId="15" borderId="16" xfId="0" applyFont="1" applyFill="1" applyBorder="1" applyAlignment="1">
      <alignment horizontal="right" vertical="center"/>
    </xf>
    <xf numFmtId="0" fontId="2" fillId="9" borderId="26" xfId="0" applyFont="1" applyFill="1" applyBorder="1" applyAlignment="1">
      <alignment vertical="center"/>
    </xf>
    <xf numFmtId="0" fontId="6" fillId="10" borderId="18" xfId="0" applyFont="1" applyFill="1" applyBorder="1" applyAlignment="1">
      <alignment vertical="center"/>
    </xf>
    <xf numFmtId="0" fontId="6" fillId="11" borderId="18" xfId="0" applyFont="1" applyFill="1" applyBorder="1" applyAlignment="1">
      <alignment vertical="center"/>
    </xf>
    <xf numFmtId="0" fontId="6" fillId="13" borderId="18" xfId="0" applyFont="1" applyFill="1" applyBorder="1" applyAlignment="1">
      <alignment vertical="center"/>
    </xf>
    <xf numFmtId="0" fontId="6" fillId="12" borderId="18" xfId="0" applyFont="1" applyFill="1" applyBorder="1" applyAlignment="1">
      <alignment vertical="center"/>
    </xf>
    <xf numFmtId="0" fontId="6" fillId="14" borderId="18" xfId="0" applyFont="1" applyFill="1" applyBorder="1" applyAlignment="1">
      <alignment vertical="center"/>
    </xf>
    <xf numFmtId="0" fontId="6" fillId="15" borderId="18" xfId="0" applyFont="1" applyFill="1" applyBorder="1" applyAlignment="1">
      <alignment vertical="center"/>
    </xf>
    <xf numFmtId="0" fontId="6" fillId="16" borderId="18" xfId="0" applyFont="1" applyFill="1" applyBorder="1" applyAlignment="1">
      <alignment vertical="center"/>
    </xf>
    <xf numFmtId="0" fontId="6" fillId="17" borderId="18" xfId="0" applyFont="1" applyFill="1" applyBorder="1" applyAlignment="1">
      <alignment vertical="center"/>
    </xf>
    <xf numFmtId="0" fontId="6" fillId="9" borderId="18" xfId="0" applyFont="1" applyFill="1" applyBorder="1" applyAlignment="1">
      <alignment vertical="center"/>
    </xf>
    <xf numFmtId="0" fontId="6" fillId="8" borderId="18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6" fillId="11" borderId="41" xfId="0" applyFont="1" applyFill="1" applyBorder="1" applyAlignment="1">
      <alignment horizontal="center" vertical="top"/>
    </xf>
    <xf numFmtId="0" fontId="6" fillId="11" borderId="42" xfId="0" applyFont="1" applyFill="1" applyBorder="1" applyAlignment="1">
      <alignment horizontal="center" vertical="top"/>
    </xf>
    <xf numFmtId="0" fontId="6" fillId="11" borderId="35" xfId="0" applyFont="1" applyFill="1" applyBorder="1" applyAlignment="1">
      <alignment horizontal="center" vertical="top"/>
    </xf>
    <xf numFmtId="0" fontId="6" fillId="11" borderId="2" xfId="0" applyFont="1" applyFill="1" applyBorder="1" applyAlignment="1">
      <alignment horizontal="center" vertical="top"/>
    </xf>
    <xf numFmtId="0" fontId="6" fillId="11" borderId="3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6" fillId="8" borderId="41" xfId="0" applyFont="1" applyFill="1" applyBorder="1" applyAlignment="1">
      <alignment horizontal="center" vertical="top"/>
    </xf>
    <xf numFmtId="0" fontId="6" fillId="8" borderId="42" xfId="0" applyFont="1" applyFill="1" applyBorder="1" applyAlignment="1">
      <alignment horizontal="center" vertical="top"/>
    </xf>
    <xf numFmtId="0" fontId="6" fillId="8" borderId="35" xfId="0" applyFont="1" applyFill="1" applyBorder="1" applyAlignment="1">
      <alignment horizontal="center" vertical="top"/>
    </xf>
    <xf numFmtId="0" fontId="6" fillId="8" borderId="2" xfId="0" applyFont="1" applyFill="1" applyBorder="1" applyAlignment="1">
      <alignment horizontal="center" vertical="top"/>
    </xf>
    <xf numFmtId="0" fontId="6" fillId="8" borderId="3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6" fillId="14" borderId="41" xfId="0" applyFont="1" applyFill="1" applyBorder="1" applyAlignment="1">
      <alignment horizontal="center" vertical="top"/>
    </xf>
    <xf numFmtId="0" fontId="6" fillId="14" borderId="42" xfId="0" applyFont="1" applyFill="1" applyBorder="1" applyAlignment="1">
      <alignment horizontal="center" vertical="top"/>
    </xf>
    <xf numFmtId="0" fontId="6" fillId="14" borderId="35" xfId="0" applyFont="1" applyFill="1" applyBorder="1" applyAlignment="1">
      <alignment horizontal="center" vertical="top"/>
    </xf>
    <xf numFmtId="0" fontId="6" fillId="14" borderId="2" xfId="0" applyFont="1" applyFill="1" applyBorder="1" applyAlignment="1">
      <alignment horizontal="center" vertical="top"/>
    </xf>
    <xf numFmtId="0" fontId="6" fillId="14" borderId="3" xfId="0" applyFont="1" applyFill="1" applyBorder="1" applyAlignment="1">
      <alignment horizontal="center" vertical="top"/>
    </xf>
    <xf numFmtId="0" fontId="6" fillId="14" borderId="4" xfId="0" applyFont="1" applyFill="1" applyBorder="1" applyAlignment="1">
      <alignment horizontal="center" vertical="top"/>
    </xf>
    <xf numFmtId="0" fontId="6" fillId="15" borderId="41" xfId="0" applyFont="1" applyFill="1" applyBorder="1" applyAlignment="1">
      <alignment horizontal="center" vertical="top"/>
    </xf>
    <xf numFmtId="0" fontId="6" fillId="15" borderId="42" xfId="0" applyFont="1" applyFill="1" applyBorder="1" applyAlignment="1">
      <alignment horizontal="center" vertical="top"/>
    </xf>
    <xf numFmtId="0" fontId="6" fillId="15" borderId="35" xfId="0" applyFont="1" applyFill="1" applyBorder="1" applyAlignment="1">
      <alignment horizontal="center" vertical="top"/>
    </xf>
    <xf numFmtId="0" fontId="6" fillId="15" borderId="2" xfId="0" applyFont="1" applyFill="1" applyBorder="1" applyAlignment="1">
      <alignment horizontal="center" vertical="top"/>
    </xf>
    <xf numFmtId="0" fontId="6" fillId="15" borderId="3" xfId="0" applyFont="1" applyFill="1" applyBorder="1" applyAlignment="1">
      <alignment horizontal="center" vertical="top"/>
    </xf>
    <xf numFmtId="0" fontId="6" fillId="15" borderId="4" xfId="0" applyFont="1" applyFill="1" applyBorder="1" applyAlignment="1">
      <alignment horizontal="center" vertical="top"/>
    </xf>
    <xf numFmtId="0" fontId="6" fillId="17" borderId="2" xfId="0" applyFont="1" applyFill="1" applyBorder="1" applyAlignment="1">
      <alignment horizontal="center" vertical="top"/>
    </xf>
    <xf numFmtId="0" fontId="6" fillId="17" borderId="3" xfId="0" applyFont="1" applyFill="1" applyBorder="1" applyAlignment="1">
      <alignment horizontal="center" vertical="top"/>
    </xf>
    <xf numFmtId="0" fontId="6" fillId="17" borderId="4" xfId="0" applyFont="1" applyFill="1" applyBorder="1" applyAlignment="1">
      <alignment horizontal="center" vertical="top"/>
    </xf>
    <xf numFmtId="0" fontId="6" fillId="17" borderId="17" xfId="0" applyFont="1" applyFill="1" applyBorder="1" applyAlignment="1">
      <alignment horizontal="center" vertical="top"/>
    </xf>
    <xf numFmtId="0" fontId="6" fillId="10" borderId="41" xfId="0" applyFont="1" applyFill="1" applyBorder="1" applyAlignment="1">
      <alignment horizontal="center" vertical="top"/>
    </xf>
    <xf numFmtId="0" fontId="6" fillId="10" borderId="42" xfId="0" applyFont="1" applyFill="1" applyBorder="1" applyAlignment="1">
      <alignment horizontal="center" vertical="top"/>
    </xf>
    <xf numFmtId="0" fontId="6" fillId="10" borderId="35" xfId="0" applyFont="1" applyFill="1" applyBorder="1" applyAlignment="1">
      <alignment horizontal="center" vertical="top"/>
    </xf>
    <xf numFmtId="0" fontId="6" fillId="10" borderId="2" xfId="0" applyFont="1" applyFill="1" applyBorder="1" applyAlignment="1">
      <alignment horizontal="center" vertical="top"/>
    </xf>
    <xf numFmtId="0" fontId="6" fillId="10" borderId="3" xfId="0" applyFont="1" applyFill="1" applyBorder="1" applyAlignment="1">
      <alignment horizontal="center" vertical="top"/>
    </xf>
    <xf numFmtId="0" fontId="6" fillId="10" borderId="4" xfId="0" applyFont="1" applyFill="1" applyBorder="1" applyAlignment="1">
      <alignment horizontal="center" vertical="top"/>
    </xf>
    <xf numFmtId="0" fontId="6" fillId="13" borderId="41" xfId="0" applyFont="1" applyFill="1" applyBorder="1" applyAlignment="1">
      <alignment horizontal="center" vertical="top"/>
    </xf>
    <xf numFmtId="0" fontId="6" fillId="13" borderId="42" xfId="0" applyFont="1" applyFill="1" applyBorder="1" applyAlignment="1">
      <alignment horizontal="center" vertical="top"/>
    </xf>
    <xf numFmtId="0" fontId="6" fillId="13" borderId="35" xfId="0" applyFont="1" applyFill="1" applyBorder="1" applyAlignment="1">
      <alignment horizontal="center" vertical="top"/>
    </xf>
    <xf numFmtId="0" fontId="6" fillId="13" borderId="2" xfId="0" applyFont="1" applyFill="1" applyBorder="1" applyAlignment="1">
      <alignment horizontal="center" vertical="top"/>
    </xf>
    <xf numFmtId="0" fontId="6" fillId="13" borderId="3" xfId="0" applyFont="1" applyFill="1" applyBorder="1" applyAlignment="1">
      <alignment horizontal="center" vertical="top"/>
    </xf>
    <xf numFmtId="0" fontId="6" fillId="13" borderId="4" xfId="0" applyFont="1" applyFill="1" applyBorder="1" applyAlignment="1">
      <alignment horizontal="center" vertical="top"/>
    </xf>
    <xf numFmtId="0" fontId="3" fillId="4" borderId="17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 shrinkToFit="1"/>
    </xf>
    <xf numFmtId="0" fontId="1" fillId="4" borderId="18" xfId="0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0" fontId="3" fillId="4" borderId="18" xfId="0" applyFont="1" applyFill="1" applyBorder="1" applyAlignment="1">
      <alignment horizontal="center" vertical="center" wrapText="1" shrinkToFit="1"/>
    </xf>
    <xf numFmtId="0" fontId="3" fillId="2" borderId="4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 shrinkToFit="1"/>
    </xf>
    <xf numFmtId="0" fontId="3" fillId="3" borderId="12" xfId="0" applyFont="1" applyFill="1" applyBorder="1" applyAlignment="1">
      <alignment horizontal="center" vertical="center" wrapText="1" shrinkToFi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 shrinkToFit="1"/>
    </xf>
    <xf numFmtId="0" fontId="2" fillId="9" borderId="35" xfId="0" applyFont="1" applyFill="1" applyBorder="1" applyAlignment="1">
      <alignment horizontal="center" vertical="top"/>
    </xf>
    <xf numFmtId="0" fontId="2" fillId="9" borderId="17" xfId="0" applyFont="1" applyFill="1" applyBorder="1" applyAlignment="1">
      <alignment horizontal="center" vertical="top"/>
    </xf>
    <xf numFmtId="0" fontId="2" fillId="9" borderId="4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 shrinkToFit="1"/>
    </xf>
    <xf numFmtId="0" fontId="1" fillId="6" borderId="1" xfId="0" applyFont="1" applyFill="1" applyBorder="1" applyAlignment="1">
      <alignment horizontal="center" vertical="center" wrapText="1" shrinkToFi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 shrinkToFit="1"/>
    </xf>
    <xf numFmtId="0" fontId="1" fillId="5" borderId="1" xfId="0" applyFont="1" applyFill="1" applyBorder="1" applyAlignment="1">
      <alignment horizontal="center" vertical="center" wrapText="1" shrinkToFit="1"/>
    </xf>
    <xf numFmtId="0" fontId="1" fillId="5" borderId="18" xfId="0" applyFont="1" applyFill="1" applyBorder="1" applyAlignment="1">
      <alignment horizontal="center" vertical="center" wrapText="1" shrinkToFit="1"/>
    </xf>
    <xf numFmtId="0" fontId="3" fillId="5" borderId="1" xfId="0" applyFont="1" applyFill="1" applyBorder="1" applyAlignment="1">
      <alignment horizontal="center" vertical="center" wrapText="1" shrinkToFit="1"/>
    </xf>
    <xf numFmtId="0" fontId="3" fillId="5" borderId="18" xfId="0" applyFont="1" applyFill="1" applyBorder="1" applyAlignment="1">
      <alignment horizontal="center" vertical="center" wrapText="1" shrinkToFi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 shrinkToFit="1"/>
    </xf>
    <xf numFmtId="0" fontId="3" fillId="6" borderId="1" xfId="0" applyFont="1" applyFill="1" applyBorder="1" applyAlignment="1">
      <alignment horizontal="center" vertical="center" wrapText="1" shrinkToFit="1"/>
    </xf>
    <xf numFmtId="0" fontId="3" fillId="6" borderId="18" xfId="0" applyFont="1" applyFill="1" applyBorder="1" applyAlignment="1">
      <alignment horizontal="center" vertical="center" wrapText="1" shrinkToFit="1"/>
    </xf>
    <xf numFmtId="0" fontId="3" fillId="2" borderId="4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 shrinkToFit="1"/>
    </xf>
    <xf numFmtId="0" fontId="3" fillId="7" borderId="12" xfId="0" applyFont="1" applyFill="1" applyBorder="1" applyAlignment="1">
      <alignment horizontal="center" vertical="center" wrapText="1" shrinkToFit="1"/>
    </xf>
    <xf numFmtId="0" fontId="3" fillId="7" borderId="1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 shrinkToFit="1"/>
    </xf>
    <xf numFmtId="0" fontId="1" fillId="8" borderId="18" xfId="0" applyFont="1" applyFill="1" applyBorder="1" applyAlignment="1">
      <alignment horizontal="center" vertical="center" wrapText="1" shrinkToFit="1"/>
    </xf>
    <xf numFmtId="0" fontId="3" fillId="8" borderId="17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 wrapText="1" shrinkToFit="1"/>
    </xf>
    <xf numFmtId="0" fontId="1" fillId="7" borderId="1" xfId="0" applyFont="1" applyFill="1" applyBorder="1" applyAlignment="1">
      <alignment horizontal="center" vertical="center" wrapText="1" shrinkToFit="1"/>
    </xf>
    <xf numFmtId="0" fontId="3" fillId="7" borderId="17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 wrapText="1" shrinkToFit="1"/>
    </xf>
    <xf numFmtId="0" fontId="6" fillId="15" borderId="17" xfId="0" applyFont="1" applyFill="1" applyBorder="1" applyAlignment="1">
      <alignment horizontal="center" vertical="top"/>
    </xf>
    <xf numFmtId="0" fontId="6" fillId="15" borderId="1" xfId="0" applyFont="1" applyFill="1" applyBorder="1" applyAlignment="1">
      <alignment horizontal="center" vertical="top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 wrapText="1" shrinkToFit="1"/>
    </xf>
    <xf numFmtId="0" fontId="1" fillId="4" borderId="13" xfId="0" applyFont="1" applyFill="1" applyBorder="1" applyAlignment="1">
      <alignment horizontal="center" vertical="center" wrapText="1" shrinkToFi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6" fillId="12" borderId="41" xfId="0" applyFont="1" applyFill="1" applyBorder="1" applyAlignment="1">
      <alignment horizontal="center" vertical="top"/>
    </xf>
    <xf numFmtId="0" fontId="6" fillId="12" borderId="42" xfId="0" applyFont="1" applyFill="1" applyBorder="1" applyAlignment="1">
      <alignment horizontal="center" vertical="top"/>
    </xf>
    <xf numFmtId="0" fontId="6" fillId="12" borderId="35" xfId="0" applyFont="1" applyFill="1" applyBorder="1" applyAlignment="1">
      <alignment horizontal="center" vertical="top"/>
    </xf>
    <xf numFmtId="0" fontId="6" fillId="12" borderId="2" xfId="0" applyFont="1" applyFill="1" applyBorder="1" applyAlignment="1">
      <alignment horizontal="center" vertical="top"/>
    </xf>
    <xf numFmtId="0" fontId="6" fillId="12" borderId="3" xfId="0" applyFont="1" applyFill="1" applyBorder="1" applyAlignment="1">
      <alignment horizontal="center" vertical="top"/>
    </xf>
    <xf numFmtId="0" fontId="6" fillId="12" borderId="4" xfId="0" applyFont="1" applyFill="1" applyBorder="1" applyAlignment="1">
      <alignment horizontal="center" vertical="top"/>
    </xf>
    <xf numFmtId="0" fontId="6" fillId="16" borderId="41" xfId="0" applyFont="1" applyFill="1" applyBorder="1" applyAlignment="1">
      <alignment horizontal="center" vertical="top"/>
    </xf>
    <xf numFmtId="0" fontId="6" fillId="16" borderId="42" xfId="0" applyFont="1" applyFill="1" applyBorder="1" applyAlignment="1">
      <alignment horizontal="center" vertical="top"/>
    </xf>
    <xf numFmtId="0" fontId="6" fillId="16" borderId="35" xfId="0" applyFont="1" applyFill="1" applyBorder="1" applyAlignment="1">
      <alignment horizontal="center" vertical="top"/>
    </xf>
    <xf numFmtId="0" fontId="6" fillId="16" borderId="2" xfId="0" applyFont="1" applyFill="1" applyBorder="1" applyAlignment="1">
      <alignment horizontal="center" vertical="top"/>
    </xf>
    <xf numFmtId="0" fontId="6" fillId="16" borderId="3" xfId="0" applyFont="1" applyFill="1" applyBorder="1" applyAlignment="1">
      <alignment horizontal="center" vertical="top"/>
    </xf>
    <xf numFmtId="0" fontId="6" fillId="16" borderId="4" xfId="0" applyFont="1" applyFill="1" applyBorder="1" applyAlignment="1">
      <alignment horizontal="center" vertical="top"/>
    </xf>
    <xf numFmtId="0" fontId="6" fillId="17" borderId="41" xfId="0" applyFont="1" applyFill="1" applyBorder="1" applyAlignment="1">
      <alignment horizontal="center" vertical="top"/>
    </xf>
    <xf numFmtId="0" fontId="6" fillId="17" borderId="42" xfId="0" applyFont="1" applyFill="1" applyBorder="1" applyAlignment="1">
      <alignment horizontal="center" vertical="top"/>
    </xf>
    <xf numFmtId="0" fontId="6" fillId="17" borderId="35" xfId="0" applyFont="1" applyFill="1" applyBorder="1" applyAlignment="1">
      <alignment horizontal="center" vertical="top"/>
    </xf>
    <xf numFmtId="0" fontId="6" fillId="9" borderId="41" xfId="0" applyFont="1" applyFill="1" applyBorder="1" applyAlignment="1">
      <alignment horizontal="center" vertical="top"/>
    </xf>
    <xf numFmtId="0" fontId="6" fillId="9" borderId="42" xfId="0" applyFont="1" applyFill="1" applyBorder="1" applyAlignment="1">
      <alignment horizontal="center" vertical="top"/>
    </xf>
    <xf numFmtId="0" fontId="6" fillId="9" borderId="35" xfId="0" applyFont="1" applyFill="1" applyBorder="1" applyAlignment="1">
      <alignment horizontal="center" vertical="top"/>
    </xf>
    <xf numFmtId="0" fontId="6" fillId="9" borderId="2" xfId="0" applyFont="1" applyFill="1" applyBorder="1" applyAlignment="1">
      <alignment horizontal="center" vertical="top"/>
    </xf>
    <xf numFmtId="0" fontId="6" fillId="9" borderId="3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2" fillId="0" borderId="5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4" fontId="21" fillId="18" borderId="13" xfId="0" applyNumberFormat="1" applyFont="1" applyFill="1" applyBorder="1" applyAlignment="1">
      <alignment horizontal="center" vertical="center"/>
    </xf>
    <xf numFmtId="0" fontId="21" fillId="18" borderId="61" xfId="0" applyFont="1" applyFill="1" applyBorder="1" applyAlignment="1">
      <alignment horizontal="center" vertical="center"/>
    </xf>
    <xf numFmtId="0" fontId="21" fillId="18" borderId="49" xfId="0" applyFont="1" applyFill="1" applyBorder="1" applyAlignment="1">
      <alignment horizontal="center" vertical="center"/>
    </xf>
    <xf numFmtId="0" fontId="21" fillId="18" borderId="66" xfId="0" applyFont="1" applyFill="1" applyBorder="1" applyAlignment="1">
      <alignment horizontal="center" vertical="center"/>
    </xf>
    <xf numFmtId="0" fontId="21" fillId="18" borderId="67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1" fillId="18" borderId="53" xfId="0" applyFont="1" applyFill="1" applyBorder="1" applyAlignment="1">
      <alignment horizontal="center" vertical="center"/>
    </xf>
    <xf numFmtId="4" fontId="21" fillId="18" borderId="1" xfId="0" applyNumberFormat="1" applyFont="1" applyFill="1" applyBorder="1" applyAlignment="1">
      <alignment horizontal="center" vertical="center"/>
    </xf>
    <xf numFmtId="4" fontId="21" fillId="18" borderId="12" xfId="0" applyNumberFormat="1" applyFont="1" applyFill="1" applyBorder="1" applyAlignment="1">
      <alignment horizontal="center" vertical="center"/>
    </xf>
    <xf numFmtId="0" fontId="21" fillId="18" borderId="56" xfId="0" applyFont="1" applyFill="1" applyBorder="1" applyAlignment="1">
      <alignment horizontal="center" vertical="center"/>
    </xf>
    <xf numFmtId="0" fontId="21" fillId="18" borderId="60" xfId="0" applyFont="1" applyFill="1" applyBorder="1" applyAlignment="1">
      <alignment horizontal="center" vertical="center"/>
    </xf>
    <xf numFmtId="0" fontId="21" fillId="18" borderId="56" xfId="0" applyFont="1" applyFill="1" applyBorder="1" applyAlignment="1">
      <alignment horizontal="center" vertical="center"/>
    </xf>
    <xf numFmtId="0" fontId="21" fillId="18" borderId="55" xfId="0" applyFont="1" applyFill="1" applyBorder="1" applyAlignment="1">
      <alignment horizontal="center" vertical="center"/>
    </xf>
    <xf numFmtId="0" fontId="22" fillId="4" borderId="46" xfId="0" applyFont="1" applyFill="1" applyBorder="1" applyAlignment="1">
      <alignment horizontal="center" vertical="center"/>
    </xf>
    <xf numFmtId="0" fontId="22" fillId="4" borderId="47" xfId="0" applyFont="1" applyFill="1" applyBorder="1" applyAlignment="1">
      <alignment horizontal="center" vertical="center"/>
    </xf>
    <xf numFmtId="0" fontId="22" fillId="4" borderId="63" xfId="0" applyFont="1" applyFill="1" applyBorder="1" applyAlignment="1">
      <alignment horizontal="center" vertical="center"/>
    </xf>
    <xf numFmtId="0" fontId="22" fillId="4" borderId="64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1" fillId="4" borderId="47" xfId="0" applyFont="1" applyFill="1" applyBorder="1" applyAlignment="1">
      <alignment horizontal="center" vertical="center"/>
    </xf>
    <xf numFmtId="0" fontId="21" fillId="4" borderId="48" xfId="0" applyFont="1" applyFill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2" fillId="0" borderId="45" xfId="0" applyFont="1" applyBorder="1" applyAlignment="1">
      <alignment vertical="center" wrapText="1"/>
    </xf>
    <xf numFmtId="0" fontId="3" fillId="4" borderId="45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  <color rgb="FF66FFCC"/>
      <color rgb="FFFFFF99"/>
      <color rgb="FF6699FF"/>
      <color rgb="FFCC99FF"/>
      <color rgb="FFCC9900"/>
      <color rgb="FFFF99CC"/>
      <color rgb="FFCCFF66"/>
      <color rgb="FFFFCC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A07D-3EDD-4D9D-9852-F774ACD35791}">
  <sheetPr>
    <tabColor theme="9" tint="0.79998168889431442"/>
    <pageSetUpPr fitToPage="1"/>
  </sheetPr>
  <dimension ref="A1:BP240"/>
  <sheetViews>
    <sheetView zoomScale="70" zoomScaleNormal="70" workbookViewId="0">
      <pane xSplit="4" ySplit="7" topLeftCell="AX8" activePane="bottomRight" state="frozen"/>
      <selection pane="topRight" activeCell="E1" sqref="E1"/>
      <selection pane="bottomLeft" activeCell="A7" sqref="A7"/>
      <selection pane="bottomRight" activeCell="B3" sqref="B3:D7"/>
    </sheetView>
  </sheetViews>
  <sheetFormatPr defaultColWidth="11.796875" defaultRowHeight="18" x14ac:dyDescent="0.25"/>
  <cols>
    <col min="1" max="5" width="11.796875" style="1"/>
    <col min="6" max="14" width="11.796875" style="4"/>
    <col min="15" max="16" width="11.796875" style="104"/>
    <col min="17" max="17" width="11.796875" style="4"/>
    <col min="18" max="24" width="11.796875" style="5"/>
    <col min="25" max="26" width="11.796875" style="107"/>
    <col min="27" max="34" width="11.796875" style="5"/>
    <col min="35" max="35" width="11.796875" style="107"/>
    <col min="36" max="36" width="11.796875" style="107" customWidth="1"/>
    <col min="37" max="46" width="11.796875" style="5"/>
    <col min="47" max="48" width="11.796875" style="107"/>
    <col min="49" max="55" width="11.796875" style="5"/>
    <col min="56" max="56" width="11.796875" style="1"/>
    <col min="57" max="57" width="11.796875" style="105" customWidth="1"/>
    <col min="58" max="58" width="11.796875" style="105"/>
    <col min="59" max="60" width="11.796875" style="1"/>
    <col min="61" max="61" width="16.796875" style="109" customWidth="1"/>
    <col min="62" max="62" width="14.8984375" style="109" customWidth="1"/>
    <col min="63" max="16384" width="11.796875" style="1"/>
  </cols>
  <sheetData>
    <row r="1" spans="1:63" s="247" customFormat="1" ht="25.8" x14ac:dyDescent="0.25">
      <c r="A1" s="252" t="s">
        <v>62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48"/>
      <c r="U1" s="248"/>
      <c r="V1" s="248"/>
      <c r="W1" s="248"/>
      <c r="X1" s="248"/>
      <c r="Y1" s="249"/>
      <c r="Z1" s="249"/>
      <c r="AA1" s="248"/>
      <c r="AB1" s="248"/>
      <c r="AC1" s="248"/>
      <c r="AD1" s="248"/>
      <c r="AE1" s="248"/>
      <c r="AF1" s="248"/>
      <c r="AG1" s="248"/>
      <c r="AH1" s="248"/>
      <c r="AI1" s="249"/>
      <c r="AJ1" s="249"/>
      <c r="AK1" s="248"/>
      <c r="AL1" s="248"/>
      <c r="AM1" s="248"/>
      <c r="AN1" s="248"/>
      <c r="AO1" s="248"/>
      <c r="AP1" s="248"/>
      <c r="AQ1" s="248"/>
      <c r="AR1" s="248"/>
      <c r="AS1" s="248"/>
      <c r="AT1" s="248"/>
      <c r="AU1" s="249"/>
      <c r="AV1" s="249"/>
      <c r="AW1" s="248"/>
      <c r="AX1" s="248"/>
      <c r="AY1" s="248"/>
      <c r="AZ1" s="248"/>
      <c r="BA1" s="248"/>
      <c r="BB1" s="248"/>
      <c r="BC1" s="248"/>
      <c r="BE1" s="250"/>
      <c r="BF1" s="250"/>
      <c r="BI1" s="251"/>
      <c r="BJ1" s="251"/>
    </row>
    <row r="2" spans="1:63" ht="18.600000000000001" thickBot="1" x14ac:dyDescent="0.3">
      <c r="BG2" s="108"/>
    </row>
    <row r="3" spans="1:63" ht="18.600000000000001" thickTop="1" x14ac:dyDescent="0.25">
      <c r="A3" s="300" t="s">
        <v>18</v>
      </c>
      <c r="B3" s="303" t="s">
        <v>19</v>
      </c>
      <c r="C3" s="303" t="s">
        <v>16</v>
      </c>
      <c r="D3" s="306" t="s">
        <v>17</v>
      </c>
      <c r="E3" s="339" t="s">
        <v>57</v>
      </c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  <c r="AC3" s="303"/>
      <c r="AD3" s="303"/>
      <c r="AE3" s="303"/>
      <c r="AF3" s="303"/>
      <c r="AG3" s="303"/>
      <c r="AH3" s="303"/>
      <c r="AI3" s="303"/>
      <c r="AJ3" s="303"/>
      <c r="AK3" s="303"/>
      <c r="AL3" s="303"/>
      <c r="AM3" s="303"/>
      <c r="AN3" s="303"/>
      <c r="AO3" s="303"/>
      <c r="AP3" s="303"/>
      <c r="AQ3" s="303"/>
      <c r="AR3" s="303"/>
      <c r="AS3" s="303"/>
      <c r="AT3" s="303"/>
      <c r="AU3" s="303"/>
      <c r="AV3" s="303"/>
      <c r="AW3" s="303"/>
      <c r="AX3" s="303"/>
      <c r="AY3" s="303"/>
      <c r="AZ3" s="303"/>
      <c r="BA3" s="303"/>
      <c r="BB3" s="303"/>
      <c r="BC3" s="303"/>
      <c r="BD3" s="303"/>
      <c r="BE3" s="303"/>
      <c r="BF3" s="303"/>
      <c r="BG3" s="303"/>
      <c r="BH3" s="306"/>
      <c r="BI3" s="356" t="s">
        <v>59</v>
      </c>
      <c r="BJ3" s="357"/>
    </row>
    <row r="4" spans="1:63" s="3" customFormat="1" ht="21" customHeight="1" x14ac:dyDescent="0.25">
      <c r="A4" s="301"/>
      <c r="B4" s="304"/>
      <c r="C4" s="304"/>
      <c r="D4" s="307"/>
      <c r="E4" s="313" t="s">
        <v>30</v>
      </c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10"/>
      <c r="Q4" s="293" t="s">
        <v>36</v>
      </c>
      <c r="R4" s="294"/>
      <c r="S4" s="294"/>
      <c r="T4" s="294"/>
      <c r="U4" s="294"/>
      <c r="V4" s="294"/>
      <c r="W4" s="294"/>
      <c r="X4" s="294"/>
      <c r="Y4" s="294"/>
      <c r="Z4" s="295"/>
      <c r="AA4" s="332" t="s">
        <v>41</v>
      </c>
      <c r="AB4" s="333"/>
      <c r="AC4" s="333"/>
      <c r="AD4" s="333"/>
      <c r="AE4" s="333"/>
      <c r="AF4" s="333"/>
      <c r="AG4" s="333"/>
      <c r="AH4" s="333"/>
      <c r="AI4" s="333"/>
      <c r="AJ4" s="334"/>
      <c r="AK4" s="323" t="s">
        <v>50</v>
      </c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5"/>
      <c r="AW4" s="350" t="s">
        <v>51</v>
      </c>
      <c r="AX4" s="351"/>
      <c r="AY4" s="351"/>
      <c r="AZ4" s="351"/>
      <c r="BA4" s="351"/>
      <c r="BB4" s="351"/>
      <c r="BC4" s="351"/>
      <c r="BD4" s="351"/>
      <c r="BE4" s="351"/>
      <c r="BF4" s="352"/>
      <c r="BG4" s="346" t="s">
        <v>58</v>
      </c>
      <c r="BH4" s="347"/>
      <c r="BI4" s="358"/>
      <c r="BJ4" s="359"/>
    </row>
    <row r="5" spans="1:63" s="6" customFormat="1" ht="67.05" customHeight="1" x14ac:dyDescent="0.25">
      <c r="A5" s="301"/>
      <c r="B5" s="304"/>
      <c r="C5" s="304"/>
      <c r="D5" s="307"/>
      <c r="E5" s="311" t="s">
        <v>29</v>
      </c>
      <c r="F5" s="312"/>
      <c r="G5" s="312" t="s">
        <v>26</v>
      </c>
      <c r="H5" s="312"/>
      <c r="I5" s="312" t="s">
        <v>27</v>
      </c>
      <c r="J5" s="312"/>
      <c r="K5" s="312" t="s">
        <v>28</v>
      </c>
      <c r="L5" s="312"/>
      <c r="M5" s="312" t="s">
        <v>0</v>
      </c>
      <c r="N5" s="312"/>
      <c r="O5" s="312" t="s">
        <v>1</v>
      </c>
      <c r="P5" s="318"/>
      <c r="Q5" s="319" t="s">
        <v>2</v>
      </c>
      <c r="R5" s="320"/>
      <c r="S5" s="296" t="s">
        <v>3</v>
      </c>
      <c r="T5" s="296"/>
      <c r="U5" s="296" t="s">
        <v>4</v>
      </c>
      <c r="V5" s="296"/>
      <c r="W5" s="362" t="s">
        <v>60</v>
      </c>
      <c r="X5" s="363"/>
      <c r="Y5" s="296" t="s">
        <v>1</v>
      </c>
      <c r="Z5" s="297"/>
      <c r="AA5" s="327" t="s">
        <v>42</v>
      </c>
      <c r="AB5" s="328"/>
      <c r="AC5" s="328" t="s">
        <v>43</v>
      </c>
      <c r="AD5" s="328"/>
      <c r="AE5" s="328" t="s">
        <v>5</v>
      </c>
      <c r="AF5" s="328"/>
      <c r="AG5" s="328" t="s">
        <v>44</v>
      </c>
      <c r="AH5" s="328"/>
      <c r="AI5" s="328" t="s">
        <v>1</v>
      </c>
      <c r="AJ5" s="329"/>
      <c r="AK5" s="321" t="s">
        <v>6</v>
      </c>
      <c r="AL5" s="322"/>
      <c r="AM5" s="322" t="s">
        <v>7</v>
      </c>
      <c r="AN5" s="322"/>
      <c r="AO5" s="322" t="s">
        <v>8</v>
      </c>
      <c r="AP5" s="322"/>
      <c r="AQ5" s="322" t="s">
        <v>9</v>
      </c>
      <c r="AR5" s="322"/>
      <c r="AS5" s="322" t="s">
        <v>10</v>
      </c>
      <c r="AT5" s="322"/>
      <c r="AU5" s="322" t="s">
        <v>1</v>
      </c>
      <c r="AV5" s="336"/>
      <c r="AW5" s="348" t="s">
        <v>11</v>
      </c>
      <c r="AX5" s="349"/>
      <c r="AY5" s="349" t="s">
        <v>12</v>
      </c>
      <c r="AZ5" s="349"/>
      <c r="BA5" s="349" t="s">
        <v>13</v>
      </c>
      <c r="BB5" s="349"/>
      <c r="BC5" s="349" t="s">
        <v>14</v>
      </c>
      <c r="BD5" s="349"/>
      <c r="BE5" s="349" t="s">
        <v>1</v>
      </c>
      <c r="BF5" s="353"/>
      <c r="BG5" s="344" t="s">
        <v>15</v>
      </c>
      <c r="BH5" s="345"/>
      <c r="BI5" s="358"/>
      <c r="BJ5" s="359"/>
    </row>
    <row r="6" spans="1:63" s="3" customFormat="1" ht="84" customHeight="1" x14ac:dyDescent="0.25">
      <c r="A6" s="301"/>
      <c r="B6" s="304"/>
      <c r="C6" s="304"/>
      <c r="D6" s="307"/>
      <c r="E6" s="313" t="s">
        <v>20</v>
      </c>
      <c r="F6" s="309"/>
      <c r="G6" s="309" t="s">
        <v>21</v>
      </c>
      <c r="H6" s="309"/>
      <c r="I6" s="309" t="s">
        <v>22</v>
      </c>
      <c r="J6" s="309"/>
      <c r="K6" s="309" t="s">
        <v>23</v>
      </c>
      <c r="L6" s="309"/>
      <c r="M6" s="309" t="s">
        <v>24</v>
      </c>
      <c r="N6" s="309"/>
      <c r="O6" s="309" t="s">
        <v>25</v>
      </c>
      <c r="P6" s="310"/>
      <c r="Q6" s="293" t="s">
        <v>33</v>
      </c>
      <c r="R6" s="294"/>
      <c r="S6" s="294" t="s">
        <v>34</v>
      </c>
      <c r="T6" s="294"/>
      <c r="U6" s="294" t="s">
        <v>35</v>
      </c>
      <c r="V6" s="294"/>
      <c r="W6" s="364" t="s">
        <v>61</v>
      </c>
      <c r="X6" s="365"/>
      <c r="Y6" s="298" t="s">
        <v>25</v>
      </c>
      <c r="Z6" s="299"/>
      <c r="AA6" s="335" t="s">
        <v>37</v>
      </c>
      <c r="AB6" s="333"/>
      <c r="AC6" s="333" t="s">
        <v>38</v>
      </c>
      <c r="AD6" s="333"/>
      <c r="AE6" s="333" t="s">
        <v>39</v>
      </c>
      <c r="AF6" s="333"/>
      <c r="AG6" s="333" t="s">
        <v>40</v>
      </c>
      <c r="AH6" s="333"/>
      <c r="AI6" s="330" t="s">
        <v>25</v>
      </c>
      <c r="AJ6" s="331"/>
      <c r="AK6" s="326" t="s">
        <v>45</v>
      </c>
      <c r="AL6" s="324"/>
      <c r="AM6" s="324" t="s">
        <v>46</v>
      </c>
      <c r="AN6" s="324"/>
      <c r="AO6" s="324" t="s">
        <v>47</v>
      </c>
      <c r="AP6" s="324"/>
      <c r="AQ6" s="324" t="s">
        <v>48</v>
      </c>
      <c r="AR6" s="324"/>
      <c r="AS6" s="324" t="s">
        <v>49</v>
      </c>
      <c r="AT6" s="324"/>
      <c r="AU6" s="337" t="s">
        <v>25</v>
      </c>
      <c r="AV6" s="338"/>
      <c r="AW6" s="342" t="s">
        <v>52</v>
      </c>
      <c r="AX6" s="343"/>
      <c r="AY6" s="343" t="s">
        <v>53</v>
      </c>
      <c r="AZ6" s="343"/>
      <c r="BA6" s="343" t="s">
        <v>54</v>
      </c>
      <c r="BB6" s="343"/>
      <c r="BC6" s="343" t="s">
        <v>55</v>
      </c>
      <c r="BD6" s="343"/>
      <c r="BE6" s="340" t="s">
        <v>25</v>
      </c>
      <c r="BF6" s="341"/>
      <c r="BG6" s="346" t="s">
        <v>56</v>
      </c>
      <c r="BH6" s="347"/>
      <c r="BI6" s="360"/>
      <c r="BJ6" s="361"/>
    </row>
    <row r="7" spans="1:63" s="3" customFormat="1" ht="36.6" thickBot="1" x14ac:dyDescent="0.3">
      <c r="A7" s="302"/>
      <c r="B7" s="305"/>
      <c r="C7" s="305"/>
      <c r="D7" s="308"/>
      <c r="E7" s="233" t="s">
        <v>31</v>
      </c>
      <c r="F7" s="203" t="s">
        <v>32</v>
      </c>
      <c r="G7" s="203" t="s">
        <v>31</v>
      </c>
      <c r="H7" s="203" t="s">
        <v>32</v>
      </c>
      <c r="I7" s="203" t="s">
        <v>31</v>
      </c>
      <c r="J7" s="203" t="s">
        <v>32</v>
      </c>
      <c r="K7" s="203" t="s">
        <v>31</v>
      </c>
      <c r="L7" s="203" t="s">
        <v>32</v>
      </c>
      <c r="M7" s="203" t="s">
        <v>31</v>
      </c>
      <c r="N7" s="203" t="s">
        <v>32</v>
      </c>
      <c r="O7" s="211" t="s">
        <v>31</v>
      </c>
      <c r="P7" s="212" t="s">
        <v>32</v>
      </c>
      <c r="Q7" s="213" t="s">
        <v>31</v>
      </c>
      <c r="R7" s="214" t="s">
        <v>32</v>
      </c>
      <c r="S7" s="214" t="s">
        <v>31</v>
      </c>
      <c r="T7" s="214" t="s">
        <v>32</v>
      </c>
      <c r="U7" s="214" t="s">
        <v>31</v>
      </c>
      <c r="V7" s="214" t="s">
        <v>32</v>
      </c>
      <c r="W7" s="214" t="s">
        <v>31</v>
      </c>
      <c r="X7" s="214" t="s">
        <v>32</v>
      </c>
      <c r="Y7" s="215" t="s">
        <v>31</v>
      </c>
      <c r="Z7" s="216" t="s">
        <v>32</v>
      </c>
      <c r="AA7" s="217" t="s">
        <v>31</v>
      </c>
      <c r="AB7" s="218" t="s">
        <v>32</v>
      </c>
      <c r="AC7" s="218" t="s">
        <v>31</v>
      </c>
      <c r="AD7" s="218" t="s">
        <v>32</v>
      </c>
      <c r="AE7" s="218" t="s">
        <v>31</v>
      </c>
      <c r="AF7" s="218" t="s">
        <v>32</v>
      </c>
      <c r="AG7" s="218" t="s">
        <v>31</v>
      </c>
      <c r="AH7" s="218" t="s">
        <v>32</v>
      </c>
      <c r="AI7" s="219" t="s">
        <v>31</v>
      </c>
      <c r="AJ7" s="220" t="s">
        <v>32</v>
      </c>
      <c r="AK7" s="221" t="s">
        <v>31</v>
      </c>
      <c r="AL7" s="222" t="s">
        <v>32</v>
      </c>
      <c r="AM7" s="222" t="s">
        <v>31</v>
      </c>
      <c r="AN7" s="222" t="s">
        <v>32</v>
      </c>
      <c r="AO7" s="222" t="s">
        <v>31</v>
      </c>
      <c r="AP7" s="222" t="s">
        <v>32</v>
      </c>
      <c r="AQ7" s="222" t="s">
        <v>31</v>
      </c>
      <c r="AR7" s="222" t="s">
        <v>32</v>
      </c>
      <c r="AS7" s="222" t="s">
        <v>31</v>
      </c>
      <c r="AT7" s="222" t="s">
        <v>32</v>
      </c>
      <c r="AU7" s="223" t="s">
        <v>31</v>
      </c>
      <c r="AV7" s="224" t="s">
        <v>32</v>
      </c>
      <c r="AW7" s="225" t="s">
        <v>31</v>
      </c>
      <c r="AX7" s="226" t="s">
        <v>32</v>
      </c>
      <c r="AY7" s="226" t="s">
        <v>31</v>
      </c>
      <c r="AZ7" s="226" t="s">
        <v>32</v>
      </c>
      <c r="BA7" s="226" t="s">
        <v>31</v>
      </c>
      <c r="BB7" s="226" t="s">
        <v>32</v>
      </c>
      <c r="BC7" s="226" t="s">
        <v>31</v>
      </c>
      <c r="BD7" s="226" t="s">
        <v>32</v>
      </c>
      <c r="BE7" s="227" t="s">
        <v>31</v>
      </c>
      <c r="BF7" s="228" t="s">
        <v>32</v>
      </c>
      <c r="BG7" s="229" t="s">
        <v>31</v>
      </c>
      <c r="BH7" s="230" t="s">
        <v>32</v>
      </c>
      <c r="BI7" s="231" t="s">
        <v>31</v>
      </c>
      <c r="BJ7" s="232" t="s">
        <v>32</v>
      </c>
    </row>
    <row r="8" spans="1:63" ht="18.600000000000001" thickTop="1" x14ac:dyDescent="0.25">
      <c r="A8" s="314">
        <v>2550</v>
      </c>
      <c r="B8" s="316">
        <v>2007</v>
      </c>
      <c r="C8" s="201">
        <v>1</v>
      </c>
      <c r="D8" s="236">
        <v>1</v>
      </c>
      <c r="E8" s="207">
        <v>12141.5</v>
      </c>
      <c r="F8" s="202">
        <v>2814.59</v>
      </c>
      <c r="G8" s="201">
        <v>10.35</v>
      </c>
      <c r="H8" s="201">
        <v>3.88</v>
      </c>
      <c r="I8" s="201">
        <v>147.38</v>
      </c>
      <c r="J8" s="201">
        <v>41.1</v>
      </c>
      <c r="K8" s="201">
        <v>496.96</v>
      </c>
      <c r="L8" s="201">
        <v>140.57</v>
      </c>
      <c r="M8" s="202">
        <v>9348.9500000000007</v>
      </c>
      <c r="N8" s="202">
        <v>2328.54</v>
      </c>
      <c r="O8" s="146">
        <v>22145.14</v>
      </c>
      <c r="P8" s="204">
        <v>5328.68</v>
      </c>
      <c r="Q8" s="205">
        <v>7386.58</v>
      </c>
      <c r="R8" s="202">
        <v>1106.4000000000001</v>
      </c>
      <c r="S8" s="201">
        <v>36.65</v>
      </c>
      <c r="T8" s="201">
        <v>16.95</v>
      </c>
      <c r="U8" s="201">
        <v>363.9</v>
      </c>
      <c r="V8" s="201">
        <v>72.400000000000006</v>
      </c>
      <c r="W8" s="201"/>
      <c r="X8" s="201"/>
      <c r="Y8" s="146">
        <v>7787.12</v>
      </c>
      <c r="Z8" s="206">
        <v>1195.76</v>
      </c>
      <c r="AA8" s="207">
        <v>19064.75</v>
      </c>
      <c r="AB8" s="201">
        <v>428.97</v>
      </c>
      <c r="AC8" s="202">
        <v>9020.35</v>
      </c>
      <c r="AD8" s="201">
        <v>866.67</v>
      </c>
      <c r="AE8" s="202">
        <v>7109.68</v>
      </c>
      <c r="AF8" s="201">
        <v>238.29</v>
      </c>
      <c r="AG8" s="201">
        <v>476.65</v>
      </c>
      <c r="AH8" s="201">
        <v>81.58</v>
      </c>
      <c r="AI8" s="146">
        <v>35671.42</v>
      </c>
      <c r="AJ8" s="206">
        <v>1615.5</v>
      </c>
      <c r="AK8" s="207">
        <v>34496.449999999997</v>
      </c>
      <c r="AL8" s="202">
        <v>3241.92</v>
      </c>
      <c r="AM8" s="202">
        <v>2964.76</v>
      </c>
      <c r="AN8" s="201">
        <v>159.63</v>
      </c>
      <c r="AO8" s="202">
        <v>2694.66</v>
      </c>
      <c r="AP8" s="201">
        <v>238.43</v>
      </c>
      <c r="AQ8" s="201">
        <v>367.33</v>
      </c>
      <c r="AR8" s="201">
        <v>109.45</v>
      </c>
      <c r="AS8" s="202">
        <v>3010.32</v>
      </c>
      <c r="AT8" s="201">
        <v>274.37</v>
      </c>
      <c r="AU8" s="146">
        <v>43533.51</v>
      </c>
      <c r="AV8" s="206">
        <v>4023.8</v>
      </c>
      <c r="AW8" s="207">
        <v>7867.26</v>
      </c>
      <c r="AX8" s="201">
        <v>577.29</v>
      </c>
      <c r="AY8" s="202">
        <v>7118.6</v>
      </c>
      <c r="AZ8" s="201">
        <v>813.87</v>
      </c>
      <c r="BA8" s="202">
        <v>1834.45</v>
      </c>
      <c r="BB8" s="201">
        <v>231.17</v>
      </c>
      <c r="BC8" s="201">
        <v>535.47</v>
      </c>
      <c r="BD8" s="201">
        <v>128.19</v>
      </c>
      <c r="BE8" s="146">
        <v>17355.78</v>
      </c>
      <c r="BF8" s="206">
        <v>1750.52</v>
      </c>
      <c r="BG8" s="207">
        <v>13239.44</v>
      </c>
      <c r="BH8" s="208">
        <v>648.39</v>
      </c>
      <c r="BI8" s="209">
        <v>139732.41</v>
      </c>
      <c r="BJ8" s="210">
        <v>14562.65</v>
      </c>
    </row>
    <row r="9" spans="1:63" x14ac:dyDescent="0.25">
      <c r="A9" s="315"/>
      <c r="B9" s="317"/>
      <c r="C9" s="7">
        <v>2</v>
      </c>
      <c r="D9" s="161">
        <v>2</v>
      </c>
      <c r="E9" s="111">
        <v>11736.38</v>
      </c>
      <c r="F9" s="8">
        <v>2719.69</v>
      </c>
      <c r="G9" s="7">
        <v>9.0399999999999991</v>
      </c>
      <c r="H9" s="7">
        <v>3.22</v>
      </c>
      <c r="I9" s="7">
        <v>108.92</v>
      </c>
      <c r="J9" s="7">
        <v>27.34</v>
      </c>
      <c r="K9" s="8">
        <v>1995.87</v>
      </c>
      <c r="L9" s="7">
        <v>422.75</v>
      </c>
      <c r="M9" s="8">
        <v>7492.45</v>
      </c>
      <c r="N9" s="8">
        <v>1963.49</v>
      </c>
      <c r="O9" s="90">
        <v>21342.65</v>
      </c>
      <c r="P9" s="113">
        <v>5136.5</v>
      </c>
      <c r="Q9" s="114">
        <v>6362.72</v>
      </c>
      <c r="R9" s="8">
        <v>1842.42</v>
      </c>
      <c r="S9" s="7">
        <v>98.47</v>
      </c>
      <c r="T9" s="7">
        <v>21.67</v>
      </c>
      <c r="U9" s="7">
        <v>511.9</v>
      </c>
      <c r="V9" s="7">
        <v>94.36</v>
      </c>
      <c r="W9" s="7"/>
      <c r="X9" s="7"/>
      <c r="Y9" s="90">
        <v>6973.09</v>
      </c>
      <c r="Z9" s="112">
        <v>1958.45</v>
      </c>
      <c r="AA9" s="111">
        <v>18897.759999999998</v>
      </c>
      <c r="AB9" s="7">
        <v>543.28</v>
      </c>
      <c r="AC9" s="8">
        <v>9003.14</v>
      </c>
      <c r="AD9" s="7">
        <v>915.88</v>
      </c>
      <c r="AE9" s="8">
        <v>6474.88</v>
      </c>
      <c r="AF9" s="7">
        <v>183.04</v>
      </c>
      <c r="AG9" s="7">
        <v>425.13</v>
      </c>
      <c r="AH9" s="7">
        <v>74.72</v>
      </c>
      <c r="AI9" s="90">
        <v>34800.910000000003</v>
      </c>
      <c r="AJ9" s="112">
        <v>1716.91</v>
      </c>
      <c r="AK9" s="111">
        <v>34925.5</v>
      </c>
      <c r="AL9" s="8">
        <v>3383.22</v>
      </c>
      <c r="AM9" s="8">
        <v>2146.27</v>
      </c>
      <c r="AN9" s="7">
        <v>113.36</v>
      </c>
      <c r="AO9" s="8">
        <v>2426.48</v>
      </c>
      <c r="AP9" s="7">
        <v>189.67</v>
      </c>
      <c r="AQ9" s="7">
        <v>328.97</v>
      </c>
      <c r="AR9" s="7">
        <v>126.16</v>
      </c>
      <c r="AS9" s="8">
        <v>3079.64</v>
      </c>
      <c r="AT9" s="7">
        <v>290.41000000000003</v>
      </c>
      <c r="AU9" s="90">
        <v>42906.86</v>
      </c>
      <c r="AV9" s="112">
        <v>4102.82</v>
      </c>
      <c r="AW9" s="111">
        <v>6872.51</v>
      </c>
      <c r="AX9" s="7">
        <v>494.94</v>
      </c>
      <c r="AY9" s="8">
        <v>6862.88</v>
      </c>
      <c r="AZ9" s="7">
        <v>748.21</v>
      </c>
      <c r="BA9" s="8">
        <v>1638.31</v>
      </c>
      <c r="BB9" s="7">
        <v>152.22</v>
      </c>
      <c r="BC9" s="8">
        <v>1105.3599999999999</v>
      </c>
      <c r="BD9" s="7">
        <v>218.06</v>
      </c>
      <c r="BE9" s="90">
        <v>16479.060000000001</v>
      </c>
      <c r="BF9" s="112">
        <v>1613.42</v>
      </c>
      <c r="BG9" s="111">
        <v>16300.71</v>
      </c>
      <c r="BH9" s="161">
        <v>767.08</v>
      </c>
      <c r="BI9" s="147">
        <v>138803.28</v>
      </c>
      <c r="BJ9" s="181">
        <v>15295.19</v>
      </c>
    </row>
    <row r="10" spans="1:63" x14ac:dyDescent="0.25">
      <c r="A10" s="315"/>
      <c r="B10" s="317"/>
      <c r="C10" s="7">
        <v>3</v>
      </c>
      <c r="D10" s="161">
        <v>3</v>
      </c>
      <c r="E10" s="111">
        <v>13649.2</v>
      </c>
      <c r="F10" s="8">
        <v>3165.94</v>
      </c>
      <c r="G10" s="7">
        <v>2.65</v>
      </c>
      <c r="H10" s="7">
        <v>1.46</v>
      </c>
      <c r="I10" s="7">
        <v>168.35</v>
      </c>
      <c r="J10" s="7">
        <v>41.88</v>
      </c>
      <c r="K10" s="8">
        <v>2119.86</v>
      </c>
      <c r="L10" s="7">
        <v>402.38</v>
      </c>
      <c r="M10" s="8">
        <v>8835.4</v>
      </c>
      <c r="N10" s="8">
        <v>2282.73</v>
      </c>
      <c r="O10" s="90">
        <v>24775.45</v>
      </c>
      <c r="P10" s="113">
        <v>5894.39</v>
      </c>
      <c r="Q10" s="114">
        <v>8993.1</v>
      </c>
      <c r="R10" s="8">
        <v>1447.28</v>
      </c>
      <c r="S10" s="7">
        <v>181.46</v>
      </c>
      <c r="T10" s="7">
        <v>42.39</v>
      </c>
      <c r="U10" s="7">
        <v>416.91</v>
      </c>
      <c r="V10" s="7">
        <v>69.25</v>
      </c>
      <c r="W10" s="7"/>
      <c r="X10" s="7"/>
      <c r="Y10" s="90">
        <v>9591.4699999999993</v>
      </c>
      <c r="Z10" s="112">
        <v>1558.93</v>
      </c>
      <c r="AA10" s="111">
        <v>31049.16</v>
      </c>
      <c r="AB10" s="7">
        <v>765.01</v>
      </c>
      <c r="AC10" s="8">
        <v>9523.5400000000009</v>
      </c>
      <c r="AD10" s="7">
        <v>983.7</v>
      </c>
      <c r="AE10" s="8">
        <v>7597.14</v>
      </c>
      <c r="AF10" s="7">
        <v>250.16</v>
      </c>
      <c r="AG10" s="7">
        <v>383.55</v>
      </c>
      <c r="AH10" s="7">
        <v>73.400000000000006</v>
      </c>
      <c r="AI10" s="90">
        <v>48553.38</v>
      </c>
      <c r="AJ10" s="112">
        <v>2072.2600000000002</v>
      </c>
      <c r="AK10" s="111">
        <v>39740.51</v>
      </c>
      <c r="AL10" s="8">
        <v>3800.88</v>
      </c>
      <c r="AM10" s="8">
        <v>3338.28</v>
      </c>
      <c r="AN10" s="7">
        <v>195.56</v>
      </c>
      <c r="AO10" s="8">
        <v>2528.25</v>
      </c>
      <c r="AP10" s="7">
        <v>242.62</v>
      </c>
      <c r="AQ10" s="7">
        <v>444.4</v>
      </c>
      <c r="AR10" s="7">
        <v>172.33</v>
      </c>
      <c r="AS10" s="8">
        <v>4197.03</v>
      </c>
      <c r="AT10" s="7">
        <v>439.55</v>
      </c>
      <c r="AU10" s="90">
        <v>50248.47</v>
      </c>
      <c r="AV10" s="112">
        <v>4850.95</v>
      </c>
      <c r="AW10" s="111">
        <v>7409.54</v>
      </c>
      <c r="AX10" s="7">
        <v>516.17999999999995</v>
      </c>
      <c r="AY10" s="8">
        <v>8003.56</v>
      </c>
      <c r="AZ10" s="8">
        <v>1137.6199999999999</v>
      </c>
      <c r="BA10" s="8">
        <v>2856.85</v>
      </c>
      <c r="BB10" s="7">
        <v>287.70999999999998</v>
      </c>
      <c r="BC10" s="8">
        <v>1492.3</v>
      </c>
      <c r="BD10" s="7">
        <v>257.97000000000003</v>
      </c>
      <c r="BE10" s="90">
        <v>19762.25</v>
      </c>
      <c r="BF10" s="112">
        <v>2199.48</v>
      </c>
      <c r="BG10" s="111">
        <v>27202.7</v>
      </c>
      <c r="BH10" s="162">
        <v>1235.33</v>
      </c>
      <c r="BI10" s="147">
        <v>180133.73</v>
      </c>
      <c r="BJ10" s="181">
        <v>17811.330000000002</v>
      </c>
    </row>
    <row r="11" spans="1:63" x14ac:dyDescent="0.25">
      <c r="A11" s="315"/>
      <c r="B11" s="317"/>
      <c r="C11" s="7">
        <v>4</v>
      </c>
      <c r="D11" s="161">
        <v>4</v>
      </c>
      <c r="E11" s="111">
        <v>11357.38</v>
      </c>
      <c r="F11" s="8">
        <v>2502.17</v>
      </c>
      <c r="G11" s="7">
        <v>12.92</v>
      </c>
      <c r="H11" s="7">
        <v>3.45</v>
      </c>
      <c r="I11" s="7">
        <v>118.88</v>
      </c>
      <c r="J11" s="7">
        <v>30.3</v>
      </c>
      <c r="K11" s="8">
        <v>1631.22</v>
      </c>
      <c r="L11" s="7">
        <v>349.46</v>
      </c>
      <c r="M11" s="8">
        <v>6160.63</v>
      </c>
      <c r="N11" s="8">
        <v>1564.43</v>
      </c>
      <c r="O11" s="90">
        <v>19281.02</v>
      </c>
      <c r="P11" s="112">
        <v>4449.8</v>
      </c>
      <c r="Q11" s="111">
        <v>7390.52</v>
      </c>
      <c r="R11" s="8">
        <v>1139.4100000000001</v>
      </c>
      <c r="S11" s="7">
        <v>213.71</v>
      </c>
      <c r="T11" s="7">
        <v>52.37</v>
      </c>
      <c r="U11" s="7">
        <v>310.95</v>
      </c>
      <c r="V11" s="7">
        <v>57.72</v>
      </c>
      <c r="W11" s="7"/>
      <c r="X11" s="7"/>
      <c r="Y11" s="90">
        <v>7915.17</v>
      </c>
      <c r="Z11" s="112">
        <v>1249.49</v>
      </c>
      <c r="AA11" s="111">
        <v>24824.28</v>
      </c>
      <c r="AB11" s="7">
        <v>689.17</v>
      </c>
      <c r="AC11" s="8">
        <v>7949.19</v>
      </c>
      <c r="AD11" s="7">
        <v>832.5</v>
      </c>
      <c r="AE11" s="8">
        <v>5677.12</v>
      </c>
      <c r="AF11" s="7">
        <v>207.82</v>
      </c>
      <c r="AG11" s="7">
        <v>357.58</v>
      </c>
      <c r="AH11" s="7">
        <v>73.94</v>
      </c>
      <c r="AI11" s="90">
        <v>38808.160000000003</v>
      </c>
      <c r="AJ11" s="112">
        <v>1803.44</v>
      </c>
      <c r="AK11" s="111">
        <v>35382.39</v>
      </c>
      <c r="AL11" s="8">
        <v>3333.31</v>
      </c>
      <c r="AM11" s="8">
        <v>2242.11</v>
      </c>
      <c r="AN11" s="7">
        <v>134.76</v>
      </c>
      <c r="AO11" s="8">
        <v>3530.12</v>
      </c>
      <c r="AP11" s="7">
        <v>303.91000000000003</v>
      </c>
      <c r="AQ11" s="7">
        <v>573.54</v>
      </c>
      <c r="AR11" s="7">
        <v>181.17</v>
      </c>
      <c r="AS11" s="8">
        <v>3463.69</v>
      </c>
      <c r="AT11" s="7">
        <v>387.53</v>
      </c>
      <c r="AU11" s="90">
        <v>45191.839999999997</v>
      </c>
      <c r="AV11" s="112">
        <v>4340.68</v>
      </c>
      <c r="AW11" s="111">
        <v>5489.78</v>
      </c>
      <c r="AX11" s="7">
        <v>369.47</v>
      </c>
      <c r="AY11" s="8">
        <v>6000.36</v>
      </c>
      <c r="AZ11" s="7">
        <v>694.59</v>
      </c>
      <c r="BA11" s="8">
        <v>2565.35</v>
      </c>
      <c r="BB11" s="7">
        <v>228.49</v>
      </c>
      <c r="BC11" s="7">
        <v>853.08</v>
      </c>
      <c r="BD11" s="7">
        <v>161.38999999999999</v>
      </c>
      <c r="BE11" s="90">
        <v>14908.57</v>
      </c>
      <c r="BF11" s="112">
        <v>1453.93</v>
      </c>
      <c r="BG11" s="111">
        <v>24279.39</v>
      </c>
      <c r="BH11" s="162">
        <v>1072.4000000000001</v>
      </c>
      <c r="BI11" s="147">
        <v>150384.15</v>
      </c>
      <c r="BJ11" s="181">
        <v>14369.74</v>
      </c>
    </row>
    <row r="12" spans="1:63" x14ac:dyDescent="0.25">
      <c r="A12" s="315"/>
      <c r="B12" s="317"/>
      <c r="C12" s="7">
        <v>5</v>
      </c>
      <c r="D12" s="161">
        <v>5</v>
      </c>
      <c r="E12" s="111">
        <v>15300.42</v>
      </c>
      <c r="F12" s="8">
        <v>3350.09</v>
      </c>
      <c r="G12" s="7">
        <v>7.46</v>
      </c>
      <c r="H12" s="7">
        <v>2.91</v>
      </c>
      <c r="I12" s="7">
        <v>91.54</v>
      </c>
      <c r="J12" s="7">
        <v>18.850000000000001</v>
      </c>
      <c r="K12" s="8">
        <v>1208.23</v>
      </c>
      <c r="L12" s="7">
        <v>267.38</v>
      </c>
      <c r="M12" s="8">
        <v>7664.52</v>
      </c>
      <c r="N12" s="8">
        <v>1874.73</v>
      </c>
      <c r="O12" s="90">
        <v>24272.16</v>
      </c>
      <c r="P12" s="113">
        <v>5513.95</v>
      </c>
      <c r="Q12" s="114">
        <v>8140.91</v>
      </c>
      <c r="R12" s="8">
        <v>1245.57</v>
      </c>
      <c r="S12" s="7">
        <v>283.12</v>
      </c>
      <c r="T12" s="7">
        <v>61.97</v>
      </c>
      <c r="U12" s="7">
        <v>403.44</v>
      </c>
      <c r="V12" s="7">
        <v>77.81</v>
      </c>
      <c r="W12" s="7"/>
      <c r="X12" s="7"/>
      <c r="Y12" s="90">
        <v>8827.4699999999993</v>
      </c>
      <c r="Z12" s="112">
        <v>1385.35</v>
      </c>
      <c r="AA12" s="111">
        <v>28664.16</v>
      </c>
      <c r="AB12" s="7">
        <v>688.73</v>
      </c>
      <c r="AC12" s="8">
        <v>8702.74</v>
      </c>
      <c r="AD12" s="7">
        <v>922.64</v>
      </c>
      <c r="AE12" s="8">
        <v>4142.6899999999996</v>
      </c>
      <c r="AF12" s="7">
        <v>155.54</v>
      </c>
      <c r="AG12" s="7">
        <v>428.18</v>
      </c>
      <c r="AH12" s="7">
        <v>72.349999999999994</v>
      </c>
      <c r="AI12" s="90">
        <v>41937.760000000002</v>
      </c>
      <c r="AJ12" s="112">
        <v>1839.26</v>
      </c>
      <c r="AK12" s="111">
        <v>42214.44</v>
      </c>
      <c r="AL12" s="8">
        <v>3962.26</v>
      </c>
      <c r="AM12" s="8">
        <v>3098.82</v>
      </c>
      <c r="AN12" s="7">
        <v>169.26</v>
      </c>
      <c r="AO12" s="8">
        <v>5997.06</v>
      </c>
      <c r="AP12" s="7">
        <v>533.9</v>
      </c>
      <c r="AQ12" s="7">
        <v>554.61</v>
      </c>
      <c r="AR12" s="7">
        <v>153.83000000000001</v>
      </c>
      <c r="AS12" s="8">
        <v>4240.63</v>
      </c>
      <c r="AT12" s="7">
        <v>451.07</v>
      </c>
      <c r="AU12" s="90">
        <v>56105.56</v>
      </c>
      <c r="AV12" s="112">
        <v>5270.31</v>
      </c>
      <c r="AW12" s="111">
        <v>6360.91</v>
      </c>
      <c r="AX12" s="7">
        <v>428.53</v>
      </c>
      <c r="AY12" s="8">
        <v>6490.53</v>
      </c>
      <c r="AZ12" s="7">
        <v>730.79</v>
      </c>
      <c r="BA12" s="8">
        <v>3392.78</v>
      </c>
      <c r="BB12" s="7">
        <v>332.38</v>
      </c>
      <c r="BC12" s="7">
        <v>751.83</v>
      </c>
      <c r="BD12" s="7">
        <v>206.93</v>
      </c>
      <c r="BE12" s="90">
        <v>16996.060000000001</v>
      </c>
      <c r="BF12" s="112">
        <v>1698.63</v>
      </c>
      <c r="BG12" s="111">
        <v>34235.449999999997</v>
      </c>
      <c r="BH12" s="162">
        <v>1340.37</v>
      </c>
      <c r="BI12" s="147">
        <v>182374.46</v>
      </c>
      <c r="BJ12" s="181">
        <v>17047.87</v>
      </c>
    </row>
    <row r="13" spans="1:63" x14ac:dyDescent="0.25">
      <c r="A13" s="315"/>
      <c r="B13" s="317"/>
      <c r="C13" s="7">
        <v>6</v>
      </c>
      <c r="D13" s="161">
        <v>6</v>
      </c>
      <c r="E13" s="111">
        <v>19462.84</v>
      </c>
      <c r="F13" s="8">
        <v>4045.96</v>
      </c>
      <c r="G13" s="7">
        <v>9.9</v>
      </c>
      <c r="H13" s="7">
        <v>2.56</v>
      </c>
      <c r="I13" s="7">
        <v>113.01</v>
      </c>
      <c r="J13" s="7">
        <v>20.95</v>
      </c>
      <c r="K13" s="8">
        <v>1663.52</v>
      </c>
      <c r="L13" s="7">
        <v>379.91</v>
      </c>
      <c r="M13" s="8">
        <v>9038.48</v>
      </c>
      <c r="N13" s="8">
        <v>2153.2399999999998</v>
      </c>
      <c r="O13" s="90">
        <v>30287.74</v>
      </c>
      <c r="P13" s="112">
        <v>6602.62</v>
      </c>
      <c r="Q13" s="111">
        <v>9512.7999999999993</v>
      </c>
      <c r="R13" s="8">
        <v>1415.8</v>
      </c>
      <c r="S13" s="7">
        <v>93.59</v>
      </c>
      <c r="T13" s="7">
        <v>32.659999999999997</v>
      </c>
      <c r="U13" s="7">
        <v>409.28</v>
      </c>
      <c r="V13" s="7">
        <v>77.02</v>
      </c>
      <c r="W13" s="7"/>
      <c r="X13" s="7"/>
      <c r="Y13" s="90">
        <v>10015.68</v>
      </c>
      <c r="Z13" s="112">
        <v>1525.47</v>
      </c>
      <c r="AA13" s="111">
        <v>28715.46</v>
      </c>
      <c r="AB13" s="7">
        <v>608.38</v>
      </c>
      <c r="AC13" s="8">
        <v>8802.84</v>
      </c>
      <c r="AD13" s="7">
        <v>835.45</v>
      </c>
      <c r="AE13" s="8">
        <v>5322.85</v>
      </c>
      <c r="AF13" s="7">
        <v>197.88</v>
      </c>
      <c r="AG13" s="7">
        <v>331.95</v>
      </c>
      <c r="AH13" s="7">
        <v>74.459999999999994</v>
      </c>
      <c r="AI13" s="90">
        <v>43173.09</v>
      </c>
      <c r="AJ13" s="112">
        <v>1716.16</v>
      </c>
      <c r="AK13" s="111">
        <v>34393.75</v>
      </c>
      <c r="AL13" s="8">
        <v>3358.44</v>
      </c>
      <c r="AM13" s="8">
        <v>4027.32</v>
      </c>
      <c r="AN13" s="7">
        <v>221.92</v>
      </c>
      <c r="AO13" s="8">
        <v>3923.22</v>
      </c>
      <c r="AP13" s="7">
        <v>321.06</v>
      </c>
      <c r="AQ13" s="7">
        <v>413.44</v>
      </c>
      <c r="AR13" s="7">
        <v>143.55000000000001</v>
      </c>
      <c r="AS13" s="8">
        <v>3717.72</v>
      </c>
      <c r="AT13" s="7">
        <v>346.98</v>
      </c>
      <c r="AU13" s="90">
        <v>46475.44</v>
      </c>
      <c r="AV13" s="112">
        <v>4391.95</v>
      </c>
      <c r="AW13" s="111">
        <v>7164.82</v>
      </c>
      <c r="AX13" s="7">
        <v>498.46</v>
      </c>
      <c r="AY13" s="8">
        <v>6384.49</v>
      </c>
      <c r="AZ13" s="7">
        <v>701.48</v>
      </c>
      <c r="BA13" s="8">
        <v>1133.1300000000001</v>
      </c>
      <c r="BB13" s="7">
        <v>87.83</v>
      </c>
      <c r="BC13" s="8">
        <v>1409.3</v>
      </c>
      <c r="BD13" s="7">
        <v>310.7</v>
      </c>
      <c r="BE13" s="90">
        <v>16091.74</v>
      </c>
      <c r="BF13" s="112">
        <v>1598.47</v>
      </c>
      <c r="BG13" s="111">
        <v>22323.72</v>
      </c>
      <c r="BH13" s="161">
        <v>982.9</v>
      </c>
      <c r="BI13" s="147">
        <v>168367.4</v>
      </c>
      <c r="BJ13" s="181">
        <v>16817.580000000002</v>
      </c>
    </row>
    <row r="14" spans="1:63" x14ac:dyDescent="0.25">
      <c r="A14" s="315"/>
      <c r="B14" s="317"/>
      <c r="C14" s="7">
        <v>7</v>
      </c>
      <c r="D14" s="161">
        <v>7</v>
      </c>
      <c r="E14" s="111">
        <v>21653.59</v>
      </c>
      <c r="F14" s="8">
        <v>4474.29</v>
      </c>
      <c r="G14" s="7">
        <v>3.4</v>
      </c>
      <c r="H14" s="7">
        <v>0.61</v>
      </c>
      <c r="I14" s="7">
        <v>34.08</v>
      </c>
      <c r="J14" s="7">
        <v>12.99</v>
      </c>
      <c r="K14" s="8">
        <v>2776.59</v>
      </c>
      <c r="L14" s="7">
        <v>634.03</v>
      </c>
      <c r="M14" s="8">
        <v>10750.27</v>
      </c>
      <c r="N14" s="8">
        <v>2602.4699999999998</v>
      </c>
      <c r="O14" s="90">
        <v>35217.919999999998</v>
      </c>
      <c r="P14" s="112">
        <v>7724.39</v>
      </c>
      <c r="Q14" s="111">
        <v>6609.19</v>
      </c>
      <c r="R14" s="8">
        <v>1009.06</v>
      </c>
      <c r="S14" s="7">
        <v>44.76</v>
      </c>
      <c r="T14" s="7">
        <v>17.39</v>
      </c>
      <c r="U14" s="7">
        <v>172.38</v>
      </c>
      <c r="V14" s="7">
        <v>34.950000000000003</v>
      </c>
      <c r="W14" s="7"/>
      <c r="X14" s="7"/>
      <c r="Y14" s="90">
        <v>6826.33</v>
      </c>
      <c r="Z14" s="112">
        <v>1061.4000000000001</v>
      </c>
      <c r="AA14" s="111">
        <v>24866.9</v>
      </c>
      <c r="AB14" s="7">
        <v>560.65</v>
      </c>
      <c r="AC14" s="8">
        <v>9375.19</v>
      </c>
      <c r="AD14" s="7">
        <v>904.55</v>
      </c>
      <c r="AE14" s="8">
        <v>5665.09</v>
      </c>
      <c r="AF14" s="7">
        <v>181.71</v>
      </c>
      <c r="AG14" s="7">
        <v>311.3</v>
      </c>
      <c r="AH14" s="7">
        <v>71.91</v>
      </c>
      <c r="AI14" s="90">
        <v>40218.480000000003</v>
      </c>
      <c r="AJ14" s="112">
        <v>1718.81</v>
      </c>
      <c r="AK14" s="111">
        <v>29378.03</v>
      </c>
      <c r="AL14" s="8">
        <v>2943.39</v>
      </c>
      <c r="AM14" s="8">
        <v>3042.58</v>
      </c>
      <c r="AN14" s="7">
        <v>171.28</v>
      </c>
      <c r="AO14" s="8">
        <v>3587.98</v>
      </c>
      <c r="AP14" s="7">
        <v>303.82</v>
      </c>
      <c r="AQ14" s="7">
        <v>329.89</v>
      </c>
      <c r="AR14" s="7">
        <v>113.64</v>
      </c>
      <c r="AS14" s="8">
        <v>3892.19</v>
      </c>
      <c r="AT14" s="7">
        <v>310.66000000000003</v>
      </c>
      <c r="AU14" s="90">
        <v>40230.67</v>
      </c>
      <c r="AV14" s="112">
        <v>3842.8</v>
      </c>
      <c r="AW14" s="111">
        <v>6572.98</v>
      </c>
      <c r="AX14" s="7">
        <v>491.86</v>
      </c>
      <c r="AY14" s="8">
        <v>5450.87</v>
      </c>
      <c r="AZ14" s="7">
        <v>583.88</v>
      </c>
      <c r="BA14" s="7">
        <v>925.29</v>
      </c>
      <c r="BB14" s="7">
        <v>124.33</v>
      </c>
      <c r="BC14" s="7">
        <v>403.47</v>
      </c>
      <c r="BD14" s="7">
        <v>163.69</v>
      </c>
      <c r="BE14" s="90">
        <v>13352.6</v>
      </c>
      <c r="BF14" s="112">
        <v>1363.76</v>
      </c>
      <c r="BG14" s="111">
        <v>16995.84</v>
      </c>
      <c r="BH14" s="161">
        <v>800.33</v>
      </c>
      <c r="BI14" s="147">
        <v>152841.85</v>
      </c>
      <c r="BJ14" s="181">
        <v>16511.490000000002</v>
      </c>
    </row>
    <row r="15" spans="1:63" x14ac:dyDescent="0.25">
      <c r="A15" s="315"/>
      <c r="B15" s="317"/>
      <c r="C15" s="7">
        <v>8</v>
      </c>
      <c r="D15" s="161">
        <v>8</v>
      </c>
      <c r="E15" s="111">
        <v>22201.86</v>
      </c>
      <c r="F15" s="8">
        <v>4603.8999999999996</v>
      </c>
      <c r="G15" s="7">
        <v>9.6199999999999992</v>
      </c>
      <c r="H15" s="7">
        <v>2.67</v>
      </c>
      <c r="I15" s="7">
        <v>168.49</v>
      </c>
      <c r="J15" s="7">
        <v>40.200000000000003</v>
      </c>
      <c r="K15" s="8">
        <v>3025.32</v>
      </c>
      <c r="L15" s="7">
        <v>702.66</v>
      </c>
      <c r="M15" s="8">
        <v>13974.98</v>
      </c>
      <c r="N15" s="8">
        <v>3338.51</v>
      </c>
      <c r="O15" s="90">
        <v>39380.269999999997</v>
      </c>
      <c r="P15" s="112">
        <v>8687.93</v>
      </c>
      <c r="Q15" s="111">
        <v>7040.15</v>
      </c>
      <c r="R15" s="8">
        <v>1053.46</v>
      </c>
      <c r="S15" s="7">
        <v>25.31</v>
      </c>
      <c r="T15" s="7">
        <v>12.45</v>
      </c>
      <c r="U15" s="7">
        <v>183.63</v>
      </c>
      <c r="V15" s="7">
        <v>41.62</v>
      </c>
      <c r="W15" s="7"/>
      <c r="X15" s="7"/>
      <c r="Y15" s="90">
        <v>7249.09</v>
      </c>
      <c r="Z15" s="112">
        <v>1107.53</v>
      </c>
      <c r="AA15" s="111">
        <v>24201.85</v>
      </c>
      <c r="AB15" s="7">
        <v>559.84</v>
      </c>
      <c r="AC15" s="8">
        <v>11546.57</v>
      </c>
      <c r="AD15" s="8">
        <v>1076.5899999999999</v>
      </c>
      <c r="AE15" s="8">
        <v>6657.6</v>
      </c>
      <c r="AF15" s="7">
        <v>218.53</v>
      </c>
      <c r="AG15" s="7">
        <v>313.56</v>
      </c>
      <c r="AH15" s="7">
        <v>63.63</v>
      </c>
      <c r="AI15" s="90">
        <v>42719.58</v>
      </c>
      <c r="AJ15" s="112">
        <v>1918.6</v>
      </c>
      <c r="AK15" s="111">
        <v>35860.629999999997</v>
      </c>
      <c r="AL15" s="8">
        <v>3626.45</v>
      </c>
      <c r="AM15" s="8">
        <v>4213.53</v>
      </c>
      <c r="AN15" s="7">
        <v>224.43</v>
      </c>
      <c r="AO15" s="8">
        <v>3399.09</v>
      </c>
      <c r="AP15" s="7">
        <v>311.68</v>
      </c>
      <c r="AQ15" s="7">
        <v>363.45</v>
      </c>
      <c r="AR15" s="7">
        <v>125.16</v>
      </c>
      <c r="AS15" s="8">
        <v>4263.41</v>
      </c>
      <c r="AT15" s="7">
        <v>348.09</v>
      </c>
      <c r="AU15" s="90">
        <v>48100.1</v>
      </c>
      <c r="AV15" s="112">
        <v>4635.8100000000004</v>
      </c>
      <c r="AW15" s="111">
        <v>6432.76</v>
      </c>
      <c r="AX15" s="7">
        <v>457.39</v>
      </c>
      <c r="AY15" s="8">
        <v>6394.31</v>
      </c>
      <c r="AZ15" s="7">
        <v>730.35</v>
      </c>
      <c r="BA15" s="7">
        <v>922</v>
      </c>
      <c r="BB15" s="7">
        <v>125.18</v>
      </c>
      <c r="BC15" s="7">
        <v>230.97</v>
      </c>
      <c r="BD15" s="7">
        <v>125.24</v>
      </c>
      <c r="BE15" s="90">
        <v>13980.04</v>
      </c>
      <c r="BF15" s="112">
        <v>1438.16</v>
      </c>
      <c r="BG15" s="111">
        <v>18459.73</v>
      </c>
      <c r="BH15" s="161">
        <v>843.66</v>
      </c>
      <c r="BI15" s="147">
        <v>169888.81</v>
      </c>
      <c r="BJ15" s="181">
        <v>18631.689999999999</v>
      </c>
      <c r="BK15" s="2"/>
    </row>
    <row r="16" spans="1:63" x14ac:dyDescent="0.25">
      <c r="A16" s="315"/>
      <c r="B16" s="317"/>
      <c r="C16" s="7">
        <v>9</v>
      </c>
      <c r="D16" s="161">
        <v>9</v>
      </c>
      <c r="E16" s="111">
        <v>19646.25</v>
      </c>
      <c r="F16" s="8">
        <v>4325.8599999999997</v>
      </c>
      <c r="G16" s="7">
        <v>8.51</v>
      </c>
      <c r="H16" s="7">
        <v>2.58</v>
      </c>
      <c r="I16" s="7">
        <v>55.08</v>
      </c>
      <c r="J16" s="7">
        <v>16.940000000000001</v>
      </c>
      <c r="K16" s="8">
        <v>3182.33</v>
      </c>
      <c r="L16" s="7">
        <v>711.18</v>
      </c>
      <c r="M16" s="8">
        <v>14433.05</v>
      </c>
      <c r="N16" s="8">
        <v>3708.84</v>
      </c>
      <c r="O16" s="90">
        <v>37325.21</v>
      </c>
      <c r="P16" s="112">
        <v>8765.41</v>
      </c>
      <c r="Q16" s="111">
        <v>6312.31</v>
      </c>
      <c r="R16" s="8">
        <v>1022.49</v>
      </c>
      <c r="S16" s="7">
        <v>65.040000000000006</v>
      </c>
      <c r="T16" s="7">
        <v>28.28</v>
      </c>
      <c r="U16" s="7">
        <v>155.54</v>
      </c>
      <c r="V16" s="7">
        <v>43.62</v>
      </c>
      <c r="W16" s="7"/>
      <c r="X16" s="7"/>
      <c r="Y16" s="90">
        <v>6532.88</v>
      </c>
      <c r="Z16" s="112">
        <v>1094.3900000000001</v>
      </c>
      <c r="AA16" s="111">
        <v>22727.79</v>
      </c>
      <c r="AB16" s="7">
        <v>576.52</v>
      </c>
      <c r="AC16" s="8">
        <v>9802.2000000000007</v>
      </c>
      <c r="AD16" s="7">
        <v>990.23</v>
      </c>
      <c r="AE16" s="8">
        <v>5398.8</v>
      </c>
      <c r="AF16" s="7">
        <v>159.31</v>
      </c>
      <c r="AG16" s="7">
        <v>398.31</v>
      </c>
      <c r="AH16" s="7">
        <v>71.099999999999994</v>
      </c>
      <c r="AI16" s="90">
        <v>38327.089999999997</v>
      </c>
      <c r="AJ16" s="112">
        <v>1797.16</v>
      </c>
      <c r="AK16" s="111">
        <v>35850.480000000003</v>
      </c>
      <c r="AL16" s="8">
        <v>3864.03</v>
      </c>
      <c r="AM16" s="8">
        <v>4963.5200000000004</v>
      </c>
      <c r="AN16" s="7">
        <v>270.70999999999998</v>
      </c>
      <c r="AO16" s="8">
        <v>3660.41</v>
      </c>
      <c r="AP16" s="7">
        <v>307.94</v>
      </c>
      <c r="AQ16" s="7">
        <v>359.26</v>
      </c>
      <c r="AR16" s="7">
        <v>158.55000000000001</v>
      </c>
      <c r="AS16" s="8">
        <v>4143.6099999999997</v>
      </c>
      <c r="AT16" s="7">
        <v>369.8</v>
      </c>
      <c r="AU16" s="90">
        <v>48977.27</v>
      </c>
      <c r="AV16" s="112">
        <v>4971.03</v>
      </c>
      <c r="AW16" s="111">
        <v>7195.87</v>
      </c>
      <c r="AX16" s="7">
        <v>516.09</v>
      </c>
      <c r="AY16" s="8">
        <v>6592.17</v>
      </c>
      <c r="AZ16" s="7">
        <v>710.43</v>
      </c>
      <c r="BA16" s="7">
        <v>142.33000000000001</v>
      </c>
      <c r="BB16" s="7">
        <v>25.04</v>
      </c>
      <c r="BC16" s="7">
        <v>306.81</v>
      </c>
      <c r="BD16" s="7">
        <v>159.04</v>
      </c>
      <c r="BE16" s="90">
        <v>14237.18</v>
      </c>
      <c r="BF16" s="112">
        <v>1410.6</v>
      </c>
      <c r="BG16" s="111">
        <v>18162.259999999998</v>
      </c>
      <c r="BH16" s="161">
        <v>692.12</v>
      </c>
      <c r="BI16" s="147">
        <v>163561.9</v>
      </c>
      <c r="BJ16" s="181">
        <v>18730.71</v>
      </c>
    </row>
    <row r="17" spans="1:68" x14ac:dyDescent="0.25">
      <c r="A17" s="315"/>
      <c r="B17" s="317"/>
      <c r="C17" s="7">
        <v>10</v>
      </c>
      <c r="D17" s="161">
        <v>10</v>
      </c>
      <c r="E17" s="111">
        <v>18040.63</v>
      </c>
      <c r="F17" s="8">
        <v>3922.19</v>
      </c>
      <c r="G17" s="7">
        <v>12.15</v>
      </c>
      <c r="H17" s="7">
        <v>3.73</v>
      </c>
      <c r="I17" s="7">
        <v>55.57</v>
      </c>
      <c r="J17" s="7">
        <v>17.57</v>
      </c>
      <c r="K17" s="8">
        <v>3056.82</v>
      </c>
      <c r="L17" s="7">
        <v>715.16</v>
      </c>
      <c r="M17" s="8">
        <v>15386.03</v>
      </c>
      <c r="N17" s="8">
        <v>3932.31</v>
      </c>
      <c r="O17" s="90">
        <v>36551.19</v>
      </c>
      <c r="P17" s="112">
        <v>8590.9599999999991</v>
      </c>
      <c r="Q17" s="111">
        <v>7482.44</v>
      </c>
      <c r="R17" s="8">
        <v>1122.56</v>
      </c>
      <c r="S17" s="7">
        <v>39.94</v>
      </c>
      <c r="T17" s="7">
        <v>25.1</v>
      </c>
      <c r="U17" s="7">
        <v>286.45</v>
      </c>
      <c r="V17" s="7">
        <v>68.97</v>
      </c>
      <c r="W17" s="7"/>
      <c r="X17" s="7"/>
      <c r="Y17" s="90">
        <v>7808.83</v>
      </c>
      <c r="Z17" s="112">
        <v>1216.6300000000001</v>
      </c>
      <c r="AA17" s="111">
        <v>27153.56</v>
      </c>
      <c r="AB17" s="7">
        <v>664.13</v>
      </c>
      <c r="AC17" s="8">
        <v>11392.44</v>
      </c>
      <c r="AD17" s="8">
        <v>1022.23</v>
      </c>
      <c r="AE17" s="8">
        <v>6069.57</v>
      </c>
      <c r="AF17" s="7">
        <v>206.81</v>
      </c>
      <c r="AG17" s="7">
        <v>331.31</v>
      </c>
      <c r="AH17" s="7">
        <v>65.650000000000006</v>
      </c>
      <c r="AI17" s="90">
        <v>44946.879999999997</v>
      </c>
      <c r="AJ17" s="112">
        <v>1958.82</v>
      </c>
      <c r="AK17" s="111">
        <v>38691.89</v>
      </c>
      <c r="AL17" s="8">
        <v>4275.62</v>
      </c>
      <c r="AM17" s="8">
        <v>6116.06</v>
      </c>
      <c r="AN17" s="7">
        <v>354.38</v>
      </c>
      <c r="AO17" s="8">
        <v>3207.09</v>
      </c>
      <c r="AP17" s="7">
        <v>312.06</v>
      </c>
      <c r="AQ17" s="7">
        <v>380.09</v>
      </c>
      <c r="AR17" s="7">
        <v>130</v>
      </c>
      <c r="AS17" s="8">
        <v>4309.29</v>
      </c>
      <c r="AT17" s="7">
        <v>351.14</v>
      </c>
      <c r="AU17" s="90">
        <v>52704.42</v>
      </c>
      <c r="AV17" s="112">
        <v>5423.2</v>
      </c>
      <c r="AW17" s="111">
        <v>8236.1</v>
      </c>
      <c r="AX17" s="7">
        <v>585.37</v>
      </c>
      <c r="AY17" s="8">
        <v>6502.71</v>
      </c>
      <c r="AZ17" s="7">
        <v>748.05</v>
      </c>
      <c r="BA17" s="7">
        <v>449.9</v>
      </c>
      <c r="BB17" s="7">
        <v>70.39</v>
      </c>
      <c r="BC17" s="7">
        <v>243.72</v>
      </c>
      <c r="BD17" s="7">
        <v>117.06</v>
      </c>
      <c r="BE17" s="90">
        <v>15432.44</v>
      </c>
      <c r="BF17" s="112">
        <v>1520.87</v>
      </c>
      <c r="BG17" s="111">
        <v>15648.13</v>
      </c>
      <c r="BH17" s="161">
        <v>809.03</v>
      </c>
      <c r="BI17" s="147">
        <v>173091.89</v>
      </c>
      <c r="BJ17" s="181">
        <v>19519.5</v>
      </c>
      <c r="BK17" s="2"/>
    </row>
    <row r="18" spans="1:68" x14ac:dyDescent="0.25">
      <c r="A18" s="315"/>
      <c r="B18" s="317"/>
      <c r="C18" s="7">
        <v>11</v>
      </c>
      <c r="D18" s="161">
        <v>11</v>
      </c>
      <c r="E18" s="111">
        <v>17012.48</v>
      </c>
      <c r="F18" s="8">
        <v>3728.35</v>
      </c>
      <c r="G18" s="7">
        <v>8.1300000000000008</v>
      </c>
      <c r="H18" s="7">
        <v>2.54</v>
      </c>
      <c r="I18" s="7">
        <v>30.45</v>
      </c>
      <c r="J18" s="7">
        <v>10.18</v>
      </c>
      <c r="K18" s="8">
        <v>2726.97</v>
      </c>
      <c r="L18" s="7">
        <v>595.91999999999996</v>
      </c>
      <c r="M18" s="8">
        <v>13484.97</v>
      </c>
      <c r="N18" s="8">
        <v>3373.47</v>
      </c>
      <c r="O18" s="90">
        <v>33262.99</v>
      </c>
      <c r="P18" s="112">
        <v>7710.45</v>
      </c>
      <c r="Q18" s="111">
        <v>6798.67</v>
      </c>
      <c r="R18" s="8">
        <v>1070.98</v>
      </c>
      <c r="S18" s="7">
        <v>69.58</v>
      </c>
      <c r="T18" s="7">
        <v>46.2</v>
      </c>
      <c r="U18" s="7">
        <v>241.32</v>
      </c>
      <c r="V18" s="7">
        <v>51.06</v>
      </c>
      <c r="W18" s="7"/>
      <c r="X18" s="7"/>
      <c r="Y18" s="90">
        <v>7109.57</v>
      </c>
      <c r="Z18" s="112">
        <v>1168.23</v>
      </c>
      <c r="AA18" s="111">
        <v>30008.880000000001</v>
      </c>
      <c r="AB18" s="7">
        <v>697.48</v>
      </c>
      <c r="AC18" s="8">
        <v>11514.32</v>
      </c>
      <c r="AD18" s="8">
        <v>1099.96</v>
      </c>
      <c r="AE18" s="8">
        <v>7458.02</v>
      </c>
      <c r="AF18" s="7">
        <v>213.72</v>
      </c>
      <c r="AG18" s="7">
        <v>427.58</v>
      </c>
      <c r="AH18" s="7">
        <v>73.27</v>
      </c>
      <c r="AI18" s="90">
        <v>49408.800000000003</v>
      </c>
      <c r="AJ18" s="112">
        <v>2084.4299999999998</v>
      </c>
      <c r="AK18" s="111">
        <v>48157.63</v>
      </c>
      <c r="AL18" s="8">
        <v>5495.19</v>
      </c>
      <c r="AM18" s="8">
        <v>6023.01</v>
      </c>
      <c r="AN18" s="7">
        <v>345.67</v>
      </c>
      <c r="AO18" s="8">
        <v>4252.1499999999996</v>
      </c>
      <c r="AP18" s="7">
        <v>369.28</v>
      </c>
      <c r="AQ18" s="7">
        <v>344.75</v>
      </c>
      <c r="AR18" s="7">
        <v>124.8</v>
      </c>
      <c r="AS18" s="8">
        <v>3923.7</v>
      </c>
      <c r="AT18" s="7">
        <v>310.63</v>
      </c>
      <c r="AU18" s="90">
        <v>62701.23</v>
      </c>
      <c r="AV18" s="112">
        <v>6645.58</v>
      </c>
      <c r="AW18" s="111">
        <v>8616.16</v>
      </c>
      <c r="AX18" s="7">
        <v>575.38</v>
      </c>
      <c r="AY18" s="8">
        <v>6388.34</v>
      </c>
      <c r="AZ18" s="7">
        <v>696.94</v>
      </c>
      <c r="BA18" s="7">
        <v>171.27</v>
      </c>
      <c r="BB18" s="7">
        <v>29.07</v>
      </c>
      <c r="BC18" s="7">
        <v>288.61</v>
      </c>
      <c r="BD18" s="7">
        <v>139.21</v>
      </c>
      <c r="BE18" s="90">
        <v>15464.37</v>
      </c>
      <c r="BF18" s="112">
        <v>1440.6</v>
      </c>
      <c r="BG18" s="111">
        <v>13790.83</v>
      </c>
      <c r="BH18" s="161">
        <v>773.18</v>
      </c>
      <c r="BI18" s="147">
        <v>181737.79</v>
      </c>
      <c r="BJ18" s="181">
        <v>19822.48</v>
      </c>
      <c r="BK18" s="2"/>
    </row>
    <row r="19" spans="1:68" x14ac:dyDescent="0.25">
      <c r="A19" s="315"/>
      <c r="B19" s="317"/>
      <c r="C19" s="7">
        <v>12</v>
      </c>
      <c r="D19" s="161">
        <v>12</v>
      </c>
      <c r="E19" s="111">
        <v>14249.6</v>
      </c>
      <c r="F19" s="8">
        <v>2972.1</v>
      </c>
      <c r="G19" s="7">
        <v>22.83</v>
      </c>
      <c r="H19" s="7">
        <v>4.66</v>
      </c>
      <c r="I19" s="7">
        <v>17.850000000000001</v>
      </c>
      <c r="J19" s="7">
        <v>7.79</v>
      </c>
      <c r="K19" s="8">
        <v>1665.66</v>
      </c>
      <c r="L19" s="7">
        <v>366.85</v>
      </c>
      <c r="M19" s="8">
        <v>9889.69</v>
      </c>
      <c r="N19" s="8">
        <v>2492.46</v>
      </c>
      <c r="O19" s="90">
        <v>25845.64</v>
      </c>
      <c r="P19" s="112">
        <v>5843.86</v>
      </c>
      <c r="Q19" s="111">
        <v>6441.54</v>
      </c>
      <c r="R19" s="7">
        <v>928.24</v>
      </c>
      <c r="S19" s="7">
        <v>36.53</v>
      </c>
      <c r="T19" s="7">
        <v>22.06</v>
      </c>
      <c r="U19" s="7">
        <v>254.78</v>
      </c>
      <c r="V19" s="7">
        <v>49.23</v>
      </c>
      <c r="W19" s="7"/>
      <c r="X19" s="7"/>
      <c r="Y19" s="90">
        <v>6732.84</v>
      </c>
      <c r="Z19" s="134">
        <v>999.53</v>
      </c>
      <c r="AA19" s="111">
        <v>34126.49</v>
      </c>
      <c r="AB19" s="7">
        <v>825.61</v>
      </c>
      <c r="AC19" s="8">
        <v>9513.39</v>
      </c>
      <c r="AD19" s="7">
        <v>982.79</v>
      </c>
      <c r="AE19" s="8">
        <v>4581.3900000000003</v>
      </c>
      <c r="AF19" s="7">
        <v>136.6</v>
      </c>
      <c r="AG19" s="7">
        <v>646.02</v>
      </c>
      <c r="AH19" s="7">
        <v>89.54</v>
      </c>
      <c r="AI19" s="90">
        <v>48867.3</v>
      </c>
      <c r="AJ19" s="112">
        <v>2034.53</v>
      </c>
      <c r="AK19" s="111">
        <v>42002.67</v>
      </c>
      <c r="AL19" s="8">
        <v>4787.96</v>
      </c>
      <c r="AM19" s="8">
        <v>5671.93</v>
      </c>
      <c r="AN19" s="7">
        <v>323.64</v>
      </c>
      <c r="AO19" s="8">
        <v>3797.62</v>
      </c>
      <c r="AP19" s="7">
        <v>341.16</v>
      </c>
      <c r="AQ19" s="7">
        <v>350.18</v>
      </c>
      <c r="AR19" s="7">
        <v>132.77000000000001</v>
      </c>
      <c r="AS19" s="8">
        <v>2897.77</v>
      </c>
      <c r="AT19" s="7">
        <v>226.35</v>
      </c>
      <c r="AU19" s="90">
        <v>54720.17</v>
      </c>
      <c r="AV19" s="112">
        <v>5811.87</v>
      </c>
      <c r="AW19" s="111">
        <v>7101.55</v>
      </c>
      <c r="AX19" s="7">
        <v>522.91999999999996</v>
      </c>
      <c r="AY19" s="8">
        <v>5487.45</v>
      </c>
      <c r="AZ19" s="7">
        <v>591.6</v>
      </c>
      <c r="BA19" s="7">
        <v>514.92999999999995</v>
      </c>
      <c r="BB19" s="7">
        <v>84.57</v>
      </c>
      <c r="BC19" s="7">
        <v>154.08000000000001</v>
      </c>
      <c r="BD19" s="7">
        <v>66.12</v>
      </c>
      <c r="BE19" s="90">
        <v>13258.01</v>
      </c>
      <c r="BF19" s="112">
        <v>1265.21</v>
      </c>
      <c r="BG19" s="111">
        <v>14842.92</v>
      </c>
      <c r="BH19" s="161">
        <v>791.46</v>
      </c>
      <c r="BI19" s="147">
        <v>164266.87</v>
      </c>
      <c r="BJ19" s="181">
        <v>16746.47</v>
      </c>
    </row>
    <row r="20" spans="1:68" x14ac:dyDescent="0.25">
      <c r="A20" s="281">
        <v>2551</v>
      </c>
      <c r="B20" s="284">
        <v>2008</v>
      </c>
      <c r="C20" s="9">
        <v>1</v>
      </c>
      <c r="D20" s="237">
        <v>13</v>
      </c>
      <c r="E20" s="56">
        <v>12005.29</v>
      </c>
      <c r="F20" s="10">
        <v>2514.84</v>
      </c>
      <c r="G20" s="11">
        <v>4.92</v>
      </c>
      <c r="H20" s="11">
        <v>1.87</v>
      </c>
      <c r="I20" s="11">
        <v>41.27</v>
      </c>
      <c r="J20" s="11">
        <v>14.72</v>
      </c>
      <c r="K20" s="10">
        <v>1935.17</v>
      </c>
      <c r="L20" s="11">
        <v>381.22</v>
      </c>
      <c r="M20" s="10">
        <v>8842.2000000000007</v>
      </c>
      <c r="N20" s="10">
        <v>2230.36</v>
      </c>
      <c r="O20" s="91">
        <v>22828.85</v>
      </c>
      <c r="P20" s="121">
        <v>5143.01</v>
      </c>
      <c r="Q20" s="56">
        <v>6347.43</v>
      </c>
      <c r="R20" s="11">
        <v>941.9</v>
      </c>
      <c r="S20" s="11">
        <v>49.52</v>
      </c>
      <c r="T20" s="11">
        <v>21.25</v>
      </c>
      <c r="U20" s="11">
        <v>171.58</v>
      </c>
      <c r="V20" s="11">
        <v>39.99</v>
      </c>
      <c r="W20" s="25"/>
      <c r="X20" s="25"/>
      <c r="Y20" s="91">
        <v>6568.53</v>
      </c>
      <c r="Z20" s="121">
        <v>1003.15</v>
      </c>
      <c r="AA20" s="56">
        <v>34047.97</v>
      </c>
      <c r="AB20" s="11">
        <v>818.33</v>
      </c>
      <c r="AC20" s="10">
        <v>9715.86</v>
      </c>
      <c r="AD20" s="10">
        <v>1031.82</v>
      </c>
      <c r="AE20" s="10">
        <v>5364.15</v>
      </c>
      <c r="AF20" s="11">
        <v>141.63</v>
      </c>
      <c r="AG20" s="11">
        <v>637.62</v>
      </c>
      <c r="AH20" s="11">
        <v>96.57</v>
      </c>
      <c r="AI20" s="91">
        <v>49765.599999999999</v>
      </c>
      <c r="AJ20" s="121">
        <v>2088.35</v>
      </c>
      <c r="AK20" s="56">
        <v>41185.35</v>
      </c>
      <c r="AL20" s="10">
        <v>4781.54</v>
      </c>
      <c r="AM20" s="10">
        <v>6281.76</v>
      </c>
      <c r="AN20" s="11">
        <v>371.61</v>
      </c>
      <c r="AO20" s="10">
        <v>3361.36</v>
      </c>
      <c r="AP20" s="11">
        <v>304.76</v>
      </c>
      <c r="AQ20" s="11">
        <v>338.6</v>
      </c>
      <c r="AR20" s="11">
        <v>97.1</v>
      </c>
      <c r="AS20" s="10">
        <v>3670.4</v>
      </c>
      <c r="AT20" s="11">
        <v>306.10000000000002</v>
      </c>
      <c r="AU20" s="91">
        <v>54837.47</v>
      </c>
      <c r="AV20" s="121">
        <v>5861.11</v>
      </c>
      <c r="AW20" s="56">
        <v>8339.02</v>
      </c>
      <c r="AX20" s="11">
        <v>574.55999999999995</v>
      </c>
      <c r="AY20" s="10">
        <v>5122.58</v>
      </c>
      <c r="AZ20" s="11">
        <v>549.39</v>
      </c>
      <c r="BA20" s="11">
        <v>207.67</v>
      </c>
      <c r="BB20" s="11">
        <v>35.630000000000003</v>
      </c>
      <c r="BC20" s="11">
        <v>168.35</v>
      </c>
      <c r="BD20" s="11">
        <v>76.52</v>
      </c>
      <c r="BE20" s="91">
        <v>13837.61</v>
      </c>
      <c r="BF20" s="121">
        <v>1236.0999999999999</v>
      </c>
      <c r="BG20" s="56">
        <v>14308.21</v>
      </c>
      <c r="BH20" s="163">
        <v>725.36</v>
      </c>
      <c r="BI20" s="148">
        <v>162146.26</v>
      </c>
      <c r="BJ20" s="182">
        <v>16057.08</v>
      </c>
    </row>
    <row r="21" spans="1:68" x14ac:dyDescent="0.25">
      <c r="A21" s="282"/>
      <c r="B21" s="285"/>
      <c r="C21" s="9">
        <v>2</v>
      </c>
      <c r="D21" s="237">
        <v>14</v>
      </c>
      <c r="E21" s="56">
        <v>10904.52</v>
      </c>
      <c r="F21" s="10">
        <v>2234.23</v>
      </c>
      <c r="G21" s="11">
        <v>9.9</v>
      </c>
      <c r="H21" s="11">
        <v>5.4</v>
      </c>
      <c r="I21" s="11">
        <v>13.32</v>
      </c>
      <c r="J21" s="11">
        <v>6.15</v>
      </c>
      <c r="K21" s="10">
        <v>1454.46</v>
      </c>
      <c r="L21" s="11">
        <v>322.57</v>
      </c>
      <c r="M21" s="10">
        <v>9073.9699999999993</v>
      </c>
      <c r="N21" s="10">
        <v>2269.9299999999998</v>
      </c>
      <c r="O21" s="91">
        <v>21456.16</v>
      </c>
      <c r="P21" s="121">
        <v>4838.29</v>
      </c>
      <c r="Q21" s="56">
        <v>6560.43</v>
      </c>
      <c r="R21" s="11">
        <v>954.04</v>
      </c>
      <c r="S21" s="11">
        <v>4.82</v>
      </c>
      <c r="T21" s="11">
        <v>2.38</v>
      </c>
      <c r="U21" s="11">
        <v>186.21</v>
      </c>
      <c r="V21" s="11">
        <v>41.47</v>
      </c>
      <c r="W21" s="25"/>
      <c r="X21" s="25"/>
      <c r="Y21" s="91">
        <v>6751.45</v>
      </c>
      <c r="Z21" s="135">
        <v>997.9</v>
      </c>
      <c r="AA21" s="56">
        <v>27003.58</v>
      </c>
      <c r="AB21" s="11">
        <v>705.08</v>
      </c>
      <c r="AC21" s="10">
        <v>8912.99</v>
      </c>
      <c r="AD21" s="10">
        <v>1041.98</v>
      </c>
      <c r="AE21" s="10">
        <v>4037.28</v>
      </c>
      <c r="AF21" s="11">
        <v>131.99</v>
      </c>
      <c r="AG21" s="11">
        <v>629.30999999999995</v>
      </c>
      <c r="AH21" s="11">
        <v>85.62</v>
      </c>
      <c r="AI21" s="91">
        <v>40583.160000000003</v>
      </c>
      <c r="AJ21" s="121">
        <v>1964.67</v>
      </c>
      <c r="AK21" s="56">
        <v>37480.67</v>
      </c>
      <c r="AL21" s="10">
        <v>4362.0600000000004</v>
      </c>
      <c r="AM21" s="10">
        <v>6070.26</v>
      </c>
      <c r="AN21" s="11">
        <v>358.63</v>
      </c>
      <c r="AO21" s="10">
        <v>4266.47</v>
      </c>
      <c r="AP21" s="11">
        <v>350.55</v>
      </c>
      <c r="AQ21" s="11">
        <v>334.21</v>
      </c>
      <c r="AR21" s="11">
        <v>112.99</v>
      </c>
      <c r="AS21" s="10">
        <v>3448.74</v>
      </c>
      <c r="AT21" s="11">
        <v>284.38</v>
      </c>
      <c r="AU21" s="91">
        <v>51600.35</v>
      </c>
      <c r="AV21" s="121">
        <v>5468.61</v>
      </c>
      <c r="AW21" s="56">
        <v>8530.32</v>
      </c>
      <c r="AX21" s="11">
        <v>600.24</v>
      </c>
      <c r="AY21" s="10">
        <v>5183.26</v>
      </c>
      <c r="AZ21" s="11">
        <v>531.27</v>
      </c>
      <c r="BA21" s="11">
        <v>234.72</v>
      </c>
      <c r="BB21" s="11">
        <v>38.28</v>
      </c>
      <c r="BC21" s="11">
        <v>96.36</v>
      </c>
      <c r="BD21" s="11">
        <v>45.37</v>
      </c>
      <c r="BE21" s="91">
        <v>14044.67</v>
      </c>
      <c r="BF21" s="121">
        <v>1215.1500000000001</v>
      </c>
      <c r="BG21" s="56">
        <v>16447.34</v>
      </c>
      <c r="BH21" s="163">
        <v>792.55</v>
      </c>
      <c r="BI21" s="148">
        <v>150883.13</v>
      </c>
      <c r="BJ21" s="182">
        <v>15277.18</v>
      </c>
    </row>
    <row r="22" spans="1:68" x14ac:dyDescent="0.25">
      <c r="A22" s="282"/>
      <c r="B22" s="285"/>
      <c r="C22" s="9">
        <v>3</v>
      </c>
      <c r="D22" s="237">
        <v>15</v>
      </c>
      <c r="E22" s="56">
        <v>12930.7</v>
      </c>
      <c r="F22" s="10">
        <v>2667.45</v>
      </c>
      <c r="G22" s="11">
        <v>18.53</v>
      </c>
      <c r="H22" s="11">
        <v>5.04</v>
      </c>
      <c r="I22" s="11">
        <v>93.19</v>
      </c>
      <c r="J22" s="11">
        <v>9.93</v>
      </c>
      <c r="K22" s="10">
        <v>1326.17</v>
      </c>
      <c r="L22" s="11">
        <v>280.18</v>
      </c>
      <c r="M22" s="10">
        <v>9720.27</v>
      </c>
      <c r="N22" s="10">
        <v>2365.5100000000002</v>
      </c>
      <c r="O22" s="91">
        <v>24088.85</v>
      </c>
      <c r="P22" s="121">
        <v>5328.11</v>
      </c>
      <c r="Q22" s="56">
        <v>7062.83</v>
      </c>
      <c r="R22" s="10">
        <v>1068.92</v>
      </c>
      <c r="S22" s="11">
        <v>22.77</v>
      </c>
      <c r="T22" s="11">
        <v>10.23</v>
      </c>
      <c r="U22" s="11">
        <v>269.45999999999998</v>
      </c>
      <c r="V22" s="11">
        <v>56.61</v>
      </c>
      <c r="W22" s="25"/>
      <c r="X22" s="25"/>
      <c r="Y22" s="91">
        <v>7355.05</v>
      </c>
      <c r="Z22" s="121">
        <v>1135.77</v>
      </c>
      <c r="AA22" s="56">
        <v>26574.29</v>
      </c>
      <c r="AB22" s="11">
        <v>676.14</v>
      </c>
      <c r="AC22" s="10">
        <v>10268.41</v>
      </c>
      <c r="AD22" s="10">
        <v>1249.49</v>
      </c>
      <c r="AE22" s="10">
        <v>5370.11</v>
      </c>
      <c r="AF22" s="11">
        <v>178.88</v>
      </c>
      <c r="AG22" s="11">
        <v>677.09</v>
      </c>
      <c r="AH22" s="11">
        <v>106.88</v>
      </c>
      <c r="AI22" s="91">
        <v>42889.9</v>
      </c>
      <c r="AJ22" s="121">
        <v>2211.38</v>
      </c>
      <c r="AK22" s="56">
        <v>43850.46</v>
      </c>
      <c r="AL22" s="10">
        <v>5006.8</v>
      </c>
      <c r="AM22" s="10">
        <v>6310.51</v>
      </c>
      <c r="AN22" s="11">
        <v>379.24</v>
      </c>
      <c r="AO22" s="10">
        <v>4292.66</v>
      </c>
      <c r="AP22" s="11">
        <v>365.67</v>
      </c>
      <c r="AQ22" s="11">
        <v>338.52</v>
      </c>
      <c r="AR22" s="11">
        <v>106.67</v>
      </c>
      <c r="AS22" s="10">
        <v>3477.7</v>
      </c>
      <c r="AT22" s="11">
        <v>281.63</v>
      </c>
      <c r="AU22" s="91">
        <v>58269.86</v>
      </c>
      <c r="AV22" s="121">
        <v>6140.01</v>
      </c>
      <c r="AW22" s="56">
        <v>8116.28</v>
      </c>
      <c r="AX22" s="11">
        <v>571.13</v>
      </c>
      <c r="AY22" s="10">
        <v>5539.87</v>
      </c>
      <c r="AZ22" s="11">
        <v>620.61</v>
      </c>
      <c r="BA22" s="11">
        <v>278</v>
      </c>
      <c r="BB22" s="11">
        <v>46.75</v>
      </c>
      <c r="BC22" s="11">
        <v>123.27</v>
      </c>
      <c r="BD22" s="11">
        <v>54.99</v>
      </c>
      <c r="BE22" s="91">
        <v>14057.42</v>
      </c>
      <c r="BF22" s="121">
        <v>1293.49</v>
      </c>
      <c r="BG22" s="56">
        <v>17242.36</v>
      </c>
      <c r="BH22" s="163">
        <v>882.78</v>
      </c>
      <c r="BI22" s="148">
        <v>163903.44</v>
      </c>
      <c r="BJ22" s="182">
        <v>16991.54</v>
      </c>
    </row>
    <row r="23" spans="1:68" x14ac:dyDescent="0.25">
      <c r="A23" s="282"/>
      <c r="B23" s="285"/>
      <c r="C23" s="9">
        <v>4</v>
      </c>
      <c r="D23" s="237">
        <v>16</v>
      </c>
      <c r="E23" s="56">
        <v>11634.29</v>
      </c>
      <c r="F23" s="10">
        <v>2325.4499999999998</v>
      </c>
      <c r="G23" s="11">
        <v>6.05</v>
      </c>
      <c r="H23" s="11">
        <v>2.0499999999999998</v>
      </c>
      <c r="I23" s="11">
        <v>46.98</v>
      </c>
      <c r="J23" s="11">
        <v>8.31</v>
      </c>
      <c r="K23" s="10">
        <v>1343.09</v>
      </c>
      <c r="L23" s="11">
        <v>277.24</v>
      </c>
      <c r="M23" s="10">
        <v>12410.01</v>
      </c>
      <c r="N23" s="10">
        <v>2740.75</v>
      </c>
      <c r="O23" s="91">
        <v>25440.41</v>
      </c>
      <c r="P23" s="121">
        <v>5353.8</v>
      </c>
      <c r="Q23" s="56">
        <v>6827.68</v>
      </c>
      <c r="R23" s="10">
        <v>1040.44</v>
      </c>
      <c r="S23" s="11">
        <v>19.170000000000002</v>
      </c>
      <c r="T23" s="11">
        <v>12.63</v>
      </c>
      <c r="U23" s="11">
        <v>265.24</v>
      </c>
      <c r="V23" s="11">
        <v>50.91</v>
      </c>
      <c r="W23" s="25"/>
      <c r="X23" s="25"/>
      <c r="Y23" s="91">
        <v>7112.09</v>
      </c>
      <c r="Z23" s="121">
        <v>1103.98</v>
      </c>
      <c r="AA23" s="56">
        <v>25485.89</v>
      </c>
      <c r="AB23" s="11">
        <v>739.19</v>
      </c>
      <c r="AC23" s="10">
        <v>9692.4</v>
      </c>
      <c r="AD23" s="10">
        <v>1275.8599999999999</v>
      </c>
      <c r="AE23" s="10">
        <v>4730.01</v>
      </c>
      <c r="AF23" s="11">
        <v>168.73</v>
      </c>
      <c r="AG23" s="11">
        <v>591.79</v>
      </c>
      <c r="AH23" s="11">
        <v>92.16</v>
      </c>
      <c r="AI23" s="91">
        <v>40500.080000000002</v>
      </c>
      <c r="AJ23" s="121">
        <v>2275.94</v>
      </c>
      <c r="AK23" s="56">
        <v>40017.43</v>
      </c>
      <c r="AL23" s="10">
        <v>4678.82</v>
      </c>
      <c r="AM23" s="10">
        <v>5565.42</v>
      </c>
      <c r="AN23" s="11">
        <v>315.48</v>
      </c>
      <c r="AO23" s="10">
        <v>3344.52</v>
      </c>
      <c r="AP23" s="11">
        <v>298.18</v>
      </c>
      <c r="AQ23" s="11">
        <v>424.23</v>
      </c>
      <c r="AR23" s="11">
        <v>116.27</v>
      </c>
      <c r="AS23" s="10">
        <v>3344.61</v>
      </c>
      <c r="AT23" s="11">
        <v>285.75</v>
      </c>
      <c r="AU23" s="91">
        <v>52696.2</v>
      </c>
      <c r="AV23" s="121">
        <v>5694.5</v>
      </c>
      <c r="AW23" s="56">
        <v>6674.78</v>
      </c>
      <c r="AX23" s="11">
        <v>480.99</v>
      </c>
      <c r="AY23" s="10">
        <v>5249.46</v>
      </c>
      <c r="AZ23" s="11">
        <v>629.67999999999995</v>
      </c>
      <c r="BA23" s="11">
        <v>361.34</v>
      </c>
      <c r="BB23" s="11">
        <v>60.9</v>
      </c>
      <c r="BC23" s="11">
        <v>79.36</v>
      </c>
      <c r="BD23" s="11">
        <v>34.94</v>
      </c>
      <c r="BE23" s="91">
        <v>12364.94</v>
      </c>
      <c r="BF23" s="121">
        <v>1206.5</v>
      </c>
      <c r="BG23" s="56">
        <v>14761.57</v>
      </c>
      <c r="BH23" s="163">
        <v>801.5</v>
      </c>
      <c r="BI23" s="148">
        <v>152875.29999999999</v>
      </c>
      <c r="BJ23" s="182">
        <v>16436.21</v>
      </c>
      <c r="BO23" s="2"/>
      <c r="BP23" s="2"/>
    </row>
    <row r="24" spans="1:68" x14ac:dyDescent="0.25">
      <c r="A24" s="282"/>
      <c r="B24" s="285"/>
      <c r="C24" s="9">
        <v>5</v>
      </c>
      <c r="D24" s="237">
        <v>17</v>
      </c>
      <c r="E24" s="56">
        <v>15404.2</v>
      </c>
      <c r="F24" s="10">
        <v>3129.51</v>
      </c>
      <c r="G24" s="11">
        <v>5.78</v>
      </c>
      <c r="H24" s="11">
        <v>2.6</v>
      </c>
      <c r="I24" s="11">
        <v>43.44</v>
      </c>
      <c r="J24" s="11">
        <v>8.07</v>
      </c>
      <c r="K24" s="10">
        <v>1012.93</v>
      </c>
      <c r="L24" s="11">
        <v>217.23</v>
      </c>
      <c r="M24" s="10">
        <v>9492.19</v>
      </c>
      <c r="N24" s="10">
        <v>2282.19</v>
      </c>
      <c r="O24" s="91">
        <v>25958.54</v>
      </c>
      <c r="P24" s="121">
        <v>5639.6</v>
      </c>
      <c r="Q24" s="56">
        <v>7314.7</v>
      </c>
      <c r="R24" s="10">
        <v>1379.13</v>
      </c>
      <c r="S24" s="11">
        <v>49.24</v>
      </c>
      <c r="T24" s="11">
        <v>12.6</v>
      </c>
      <c r="U24" s="11">
        <v>259.76</v>
      </c>
      <c r="V24" s="11">
        <v>57.64</v>
      </c>
      <c r="W24" s="25"/>
      <c r="X24" s="25"/>
      <c r="Y24" s="91">
        <v>7623.7</v>
      </c>
      <c r="Z24" s="121">
        <v>1449.37</v>
      </c>
      <c r="AA24" s="56">
        <v>22666.9</v>
      </c>
      <c r="AB24" s="11">
        <v>606.70000000000005</v>
      </c>
      <c r="AC24" s="10">
        <v>10418.26</v>
      </c>
      <c r="AD24" s="10">
        <v>1403.57</v>
      </c>
      <c r="AE24" s="10">
        <v>3215.98</v>
      </c>
      <c r="AF24" s="11">
        <v>132.93</v>
      </c>
      <c r="AG24" s="11">
        <v>559.96</v>
      </c>
      <c r="AH24" s="11">
        <v>90.5</v>
      </c>
      <c r="AI24" s="91">
        <v>36861.089999999997</v>
      </c>
      <c r="AJ24" s="121">
        <v>2233.6999999999998</v>
      </c>
      <c r="AK24" s="56">
        <v>47769.47</v>
      </c>
      <c r="AL24" s="10">
        <v>5610.1</v>
      </c>
      <c r="AM24" s="10">
        <v>5707.95</v>
      </c>
      <c r="AN24" s="11">
        <v>339.46</v>
      </c>
      <c r="AO24" s="10">
        <v>3765.39</v>
      </c>
      <c r="AP24" s="11">
        <v>375.37</v>
      </c>
      <c r="AQ24" s="11">
        <v>265.7</v>
      </c>
      <c r="AR24" s="11">
        <v>89.69</v>
      </c>
      <c r="AS24" s="10">
        <v>4177.97</v>
      </c>
      <c r="AT24" s="11">
        <v>356.14</v>
      </c>
      <c r="AU24" s="91">
        <v>61686.47</v>
      </c>
      <c r="AV24" s="121">
        <v>6770.77</v>
      </c>
      <c r="AW24" s="56">
        <v>7639.78</v>
      </c>
      <c r="AX24" s="11">
        <v>566.91</v>
      </c>
      <c r="AY24" s="10">
        <v>4925.9799999999996</v>
      </c>
      <c r="AZ24" s="11">
        <v>639.58000000000004</v>
      </c>
      <c r="BA24" s="11">
        <v>593.20000000000005</v>
      </c>
      <c r="BB24" s="11">
        <v>92.55</v>
      </c>
      <c r="BC24" s="11">
        <v>156.34</v>
      </c>
      <c r="BD24" s="11">
        <v>69.05</v>
      </c>
      <c r="BE24" s="91">
        <v>13315.3</v>
      </c>
      <c r="BF24" s="121">
        <v>1368.09</v>
      </c>
      <c r="BG24" s="56">
        <v>14216.97</v>
      </c>
      <c r="BH24" s="163">
        <v>818.2</v>
      </c>
      <c r="BI24" s="148">
        <v>159662.06</v>
      </c>
      <c r="BJ24" s="182">
        <v>18279.72</v>
      </c>
      <c r="BO24" s="2"/>
      <c r="BP24" s="2"/>
    </row>
    <row r="25" spans="1:68" x14ac:dyDescent="0.25">
      <c r="A25" s="282"/>
      <c r="B25" s="285"/>
      <c r="C25" s="9">
        <v>6</v>
      </c>
      <c r="D25" s="237">
        <v>18</v>
      </c>
      <c r="E25" s="56">
        <v>17443.490000000002</v>
      </c>
      <c r="F25" s="10">
        <v>3646.86</v>
      </c>
      <c r="G25" s="11">
        <v>18.53</v>
      </c>
      <c r="H25" s="11">
        <v>7.81</v>
      </c>
      <c r="I25" s="11">
        <v>95.95</v>
      </c>
      <c r="J25" s="11">
        <v>11.59</v>
      </c>
      <c r="K25" s="10">
        <v>1032.46</v>
      </c>
      <c r="L25" s="11">
        <v>220.02</v>
      </c>
      <c r="M25" s="10">
        <v>8777.4500000000007</v>
      </c>
      <c r="N25" s="10">
        <v>2120.29</v>
      </c>
      <c r="O25" s="91">
        <v>27367.88</v>
      </c>
      <c r="P25" s="121">
        <v>6006.57</v>
      </c>
      <c r="Q25" s="56">
        <v>6693.48</v>
      </c>
      <c r="R25" s="10">
        <v>1078.99</v>
      </c>
      <c r="S25" s="11">
        <v>30.89</v>
      </c>
      <c r="T25" s="11">
        <v>17.03</v>
      </c>
      <c r="U25" s="11">
        <v>343.97</v>
      </c>
      <c r="V25" s="11">
        <v>70.7</v>
      </c>
      <c r="W25" s="25"/>
      <c r="X25" s="25"/>
      <c r="Y25" s="91">
        <v>7068.35</v>
      </c>
      <c r="Z25" s="121">
        <v>1166.72</v>
      </c>
      <c r="AA25" s="56">
        <v>23659.919999999998</v>
      </c>
      <c r="AB25" s="11">
        <v>655.49</v>
      </c>
      <c r="AC25" s="10">
        <v>8375.94</v>
      </c>
      <c r="AD25" s="10">
        <v>1191.27</v>
      </c>
      <c r="AE25" s="10">
        <v>6466.52</v>
      </c>
      <c r="AF25" s="11">
        <v>230.66</v>
      </c>
      <c r="AG25" s="11">
        <v>363.63</v>
      </c>
      <c r="AH25" s="11">
        <v>61.15</v>
      </c>
      <c r="AI25" s="91">
        <v>38866</v>
      </c>
      <c r="AJ25" s="121">
        <v>2138.58</v>
      </c>
      <c r="AK25" s="56">
        <v>46035.61</v>
      </c>
      <c r="AL25" s="10">
        <v>5547.7</v>
      </c>
      <c r="AM25" s="10">
        <v>5335.69</v>
      </c>
      <c r="AN25" s="11">
        <v>317.31</v>
      </c>
      <c r="AO25" s="10">
        <v>4924.93</v>
      </c>
      <c r="AP25" s="11">
        <v>462.45</v>
      </c>
      <c r="AQ25" s="11">
        <v>318.36</v>
      </c>
      <c r="AR25" s="11">
        <v>114.23</v>
      </c>
      <c r="AS25" s="10">
        <v>3671.12</v>
      </c>
      <c r="AT25" s="11">
        <v>323.48</v>
      </c>
      <c r="AU25" s="91">
        <v>60285.71</v>
      </c>
      <c r="AV25" s="121">
        <v>6765.16</v>
      </c>
      <c r="AW25" s="56">
        <v>7107.88</v>
      </c>
      <c r="AX25" s="11">
        <v>578.27</v>
      </c>
      <c r="AY25" s="10">
        <v>4707.9799999999996</v>
      </c>
      <c r="AZ25" s="11">
        <v>586.69000000000005</v>
      </c>
      <c r="BA25" s="11">
        <v>501.01</v>
      </c>
      <c r="BB25" s="11">
        <v>80.86</v>
      </c>
      <c r="BC25" s="11">
        <v>192.73</v>
      </c>
      <c r="BD25" s="11">
        <v>84.58</v>
      </c>
      <c r="BE25" s="91">
        <v>12509.6</v>
      </c>
      <c r="BF25" s="121">
        <v>1330.4</v>
      </c>
      <c r="BG25" s="56">
        <v>12749.32</v>
      </c>
      <c r="BH25" s="163">
        <v>807.94</v>
      </c>
      <c r="BI25" s="148">
        <v>158846.85</v>
      </c>
      <c r="BJ25" s="182">
        <v>18215.37</v>
      </c>
    </row>
    <row r="26" spans="1:68" x14ac:dyDescent="0.25">
      <c r="A26" s="282"/>
      <c r="B26" s="285"/>
      <c r="C26" s="9">
        <v>7</v>
      </c>
      <c r="D26" s="237">
        <v>19</v>
      </c>
      <c r="E26" s="56">
        <v>22508.26</v>
      </c>
      <c r="F26" s="10">
        <v>4920.8599999999997</v>
      </c>
      <c r="G26" s="11">
        <v>5.62</v>
      </c>
      <c r="H26" s="11">
        <v>2.44</v>
      </c>
      <c r="I26" s="11">
        <v>60.4</v>
      </c>
      <c r="J26" s="11">
        <v>5.95</v>
      </c>
      <c r="K26" s="10">
        <v>1363.02</v>
      </c>
      <c r="L26" s="11">
        <v>323.20999999999998</v>
      </c>
      <c r="M26" s="10">
        <v>11041.8</v>
      </c>
      <c r="N26" s="10">
        <v>2957.31</v>
      </c>
      <c r="O26" s="91">
        <v>34979.089999999997</v>
      </c>
      <c r="P26" s="121">
        <v>8209.77</v>
      </c>
      <c r="Q26" s="56">
        <v>7393.04</v>
      </c>
      <c r="R26" s="10">
        <v>1193.9100000000001</v>
      </c>
      <c r="S26" s="11">
        <v>45.3</v>
      </c>
      <c r="T26" s="11">
        <v>24.54</v>
      </c>
      <c r="U26" s="11">
        <v>339.41</v>
      </c>
      <c r="V26" s="11">
        <v>75.989999999999995</v>
      </c>
      <c r="W26" s="25"/>
      <c r="X26" s="25"/>
      <c r="Y26" s="91">
        <v>7777.74</v>
      </c>
      <c r="Z26" s="121">
        <v>1294.43</v>
      </c>
      <c r="AA26" s="56">
        <v>25000.93</v>
      </c>
      <c r="AB26" s="11">
        <v>672.29</v>
      </c>
      <c r="AC26" s="10">
        <v>9507.9</v>
      </c>
      <c r="AD26" s="10">
        <v>1420.02</v>
      </c>
      <c r="AE26" s="10">
        <v>5021.68</v>
      </c>
      <c r="AF26" s="11">
        <v>188.29</v>
      </c>
      <c r="AG26" s="11">
        <v>402.92</v>
      </c>
      <c r="AH26" s="11">
        <v>62.57</v>
      </c>
      <c r="AI26" s="91">
        <v>39933.43</v>
      </c>
      <c r="AJ26" s="121">
        <v>2343.17</v>
      </c>
      <c r="AK26" s="56">
        <v>45438.94</v>
      </c>
      <c r="AL26" s="10">
        <v>5966.83</v>
      </c>
      <c r="AM26" s="10">
        <v>4978.25</v>
      </c>
      <c r="AN26" s="11">
        <v>323.91000000000003</v>
      </c>
      <c r="AO26" s="10">
        <v>4274.62</v>
      </c>
      <c r="AP26" s="11">
        <v>407.87</v>
      </c>
      <c r="AQ26" s="11">
        <v>455.53</v>
      </c>
      <c r="AR26" s="11">
        <v>198.49</v>
      </c>
      <c r="AS26" s="10">
        <v>3703.22</v>
      </c>
      <c r="AT26" s="11">
        <v>364.27</v>
      </c>
      <c r="AU26" s="91">
        <v>58850.55</v>
      </c>
      <c r="AV26" s="121">
        <v>7261.38</v>
      </c>
      <c r="AW26" s="56">
        <v>7252.01</v>
      </c>
      <c r="AX26" s="11">
        <v>514.49</v>
      </c>
      <c r="AY26" s="10">
        <v>4404.1499999999996</v>
      </c>
      <c r="AZ26" s="11">
        <v>575.48</v>
      </c>
      <c r="BA26" s="11">
        <v>808.38</v>
      </c>
      <c r="BB26" s="11">
        <v>148.36000000000001</v>
      </c>
      <c r="BC26" s="11">
        <v>156.66</v>
      </c>
      <c r="BD26" s="11">
        <v>80.819999999999993</v>
      </c>
      <c r="BE26" s="91">
        <v>12621.19</v>
      </c>
      <c r="BF26" s="121">
        <v>1319.15</v>
      </c>
      <c r="BG26" s="56">
        <v>14269.6</v>
      </c>
      <c r="BH26" s="163">
        <v>907.91</v>
      </c>
      <c r="BI26" s="148">
        <v>168431.6</v>
      </c>
      <c r="BJ26" s="182">
        <v>21335.82</v>
      </c>
    </row>
    <row r="27" spans="1:68" x14ac:dyDescent="0.25">
      <c r="A27" s="282"/>
      <c r="B27" s="285"/>
      <c r="C27" s="9">
        <v>8</v>
      </c>
      <c r="D27" s="237">
        <v>20</v>
      </c>
      <c r="E27" s="56">
        <v>22699.9</v>
      </c>
      <c r="F27" s="10">
        <v>5051.26</v>
      </c>
      <c r="G27" s="11">
        <v>6</v>
      </c>
      <c r="H27" s="11">
        <v>2.2799999999999998</v>
      </c>
      <c r="I27" s="11">
        <v>115.54</v>
      </c>
      <c r="J27" s="11">
        <v>6.18</v>
      </c>
      <c r="K27" s="10">
        <v>1847.43</v>
      </c>
      <c r="L27" s="11">
        <v>410.35</v>
      </c>
      <c r="M27" s="10">
        <v>12642.87</v>
      </c>
      <c r="N27" s="10">
        <v>3391.99</v>
      </c>
      <c r="O27" s="91">
        <v>37311.75</v>
      </c>
      <c r="P27" s="121">
        <v>8862.0499999999993</v>
      </c>
      <c r="Q27" s="56">
        <v>5485.67</v>
      </c>
      <c r="R27" s="11">
        <v>924.07</v>
      </c>
      <c r="S27" s="11">
        <v>32.47</v>
      </c>
      <c r="T27" s="11">
        <v>17.899999999999999</v>
      </c>
      <c r="U27" s="11">
        <v>237.52</v>
      </c>
      <c r="V27" s="11">
        <v>57.93</v>
      </c>
      <c r="W27" s="25"/>
      <c r="X27" s="25"/>
      <c r="Y27" s="91">
        <v>5755.65</v>
      </c>
      <c r="Z27" s="135">
        <v>999.89</v>
      </c>
      <c r="AA27" s="56">
        <v>22216.03</v>
      </c>
      <c r="AB27" s="11">
        <v>731.09</v>
      </c>
      <c r="AC27" s="10">
        <v>8657.14</v>
      </c>
      <c r="AD27" s="10">
        <v>1318.64</v>
      </c>
      <c r="AE27" s="10">
        <v>5756.17</v>
      </c>
      <c r="AF27" s="11">
        <v>201.85</v>
      </c>
      <c r="AG27" s="11">
        <v>321.83</v>
      </c>
      <c r="AH27" s="11">
        <v>58.63</v>
      </c>
      <c r="AI27" s="91">
        <v>36951.18</v>
      </c>
      <c r="AJ27" s="121">
        <v>2310.21</v>
      </c>
      <c r="AK27" s="56">
        <v>43885.13</v>
      </c>
      <c r="AL27" s="10">
        <v>5884.4</v>
      </c>
      <c r="AM27" s="10">
        <v>4385.59</v>
      </c>
      <c r="AN27" s="11">
        <v>282.36</v>
      </c>
      <c r="AO27" s="10">
        <v>3455.2</v>
      </c>
      <c r="AP27" s="11">
        <v>389.75</v>
      </c>
      <c r="AQ27" s="11">
        <v>390.21</v>
      </c>
      <c r="AR27" s="11">
        <v>171.33</v>
      </c>
      <c r="AS27" s="10">
        <v>3721.77</v>
      </c>
      <c r="AT27" s="11">
        <v>387.09</v>
      </c>
      <c r="AU27" s="91">
        <v>55837.88</v>
      </c>
      <c r="AV27" s="121">
        <v>7114.93</v>
      </c>
      <c r="AW27" s="56">
        <v>6995.88</v>
      </c>
      <c r="AX27" s="11">
        <v>592.14</v>
      </c>
      <c r="AY27" s="10">
        <v>4764.58</v>
      </c>
      <c r="AZ27" s="11">
        <v>647.21</v>
      </c>
      <c r="BA27" s="11">
        <v>532.4</v>
      </c>
      <c r="BB27" s="11">
        <v>97.95</v>
      </c>
      <c r="BC27" s="11">
        <v>171.09</v>
      </c>
      <c r="BD27" s="11">
        <v>99.26</v>
      </c>
      <c r="BE27" s="91">
        <v>12463.94</v>
      </c>
      <c r="BF27" s="121">
        <v>1436.56</v>
      </c>
      <c r="BG27" s="56">
        <v>13599.91</v>
      </c>
      <c r="BH27" s="163">
        <v>823.28</v>
      </c>
      <c r="BI27" s="148">
        <v>161920.32000000001</v>
      </c>
      <c r="BJ27" s="182">
        <v>21546.91</v>
      </c>
    </row>
    <row r="28" spans="1:68" x14ac:dyDescent="0.25">
      <c r="A28" s="282"/>
      <c r="B28" s="285"/>
      <c r="C28" s="9">
        <v>9</v>
      </c>
      <c r="D28" s="237">
        <v>21</v>
      </c>
      <c r="E28" s="56">
        <v>21164.799999999999</v>
      </c>
      <c r="F28" s="10">
        <v>4797.1499999999996</v>
      </c>
      <c r="G28" s="11">
        <v>14.26</v>
      </c>
      <c r="H28" s="11">
        <v>5.64</v>
      </c>
      <c r="I28" s="11">
        <v>67.58</v>
      </c>
      <c r="J28" s="11">
        <v>13.3</v>
      </c>
      <c r="K28" s="10">
        <v>1826.36</v>
      </c>
      <c r="L28" s="11">
        <v>455.27</v>
      </c>
      <c r="M28" s="10">
        <v>13367.96</v>
      </c>
      <c r="N28" s="10">
        <v>3711.49</v>
      </c>
      <c r="O28" s="91">
        <v>36440.959999999999</v>
      </c>
      <c r="P28" s="121">
        <v>8982.84</v>
      </c>
      <c r="Q28" s="56">
        <v>6052.51</v>
      </c>
      <c r="R28" s="10">
        <v>1007.44</v>
      </c>
      <c r="S28" s="11">
        <v>32.159999999999997</v>
      </c>
      <c r="T28" s="11">
        <v>18.149999999999999</v>
      </c>
      <c r="U28" s="11">
        <v>372.37</v>
      </c>
      <c r="V28" s="11">
        <v>79.25</v>
      </c>
      <c r="W28" s="25"/>
      <c r="X28" s="25"/>
      <c r="Y28" s="91">
        <v>6457.04</v>
      </c>
      <c r="Z28" s="121">
        <v>1104.83</v>
      </c>
      <c r="AA28" s="56">
        <v>19792.099999999999</v>
      </c>
      <c r="AB28" s="11">
        <v>678.26</v>
      </c>
      <c r="AC28" s="10">
        <v>7011.87</v>
      </c>
      <c r="AD28" s="10">
        <v>1058.53</v>
      </c>
      <c r="AE28" s="10">
        <v>4293.4399999999996</v>
      </c>
      <c r="AF28" s="11">
        <v>165.67</v>
      </c>
      <c r="AG28" s="11">
        <v>468.66</v>
      </c>
      <c r="AH28" s="11">
        <v>67.19</v>
      </c>
      <c r="AI28" s="91">
        <v>31566.07</v>
      </c>
      <c r="AJ28" s="121">
        <v>1969.65</v>
      </c>
      <c r="AK28" s="56">
        <v>40070.019999999997</v>
      </c>
      <c r="AL28" s="10">
        <v>5606.39</v>
      </c>
      <c r="AM28" s="10">
        <v>5200.83</v>
      </c>
      <c r="AN28" s="11">
        <v>346.06</v>
      </c>
      <c r="AO28" s="10">
        <v>4001.56</v>
      </c>
      <c r="AP28" s="11">
        <v>390.96</v>
      </c>
      <c r="AQ28" s="11">
        <v>471.37</v>
      </c>
      <c r="AR28" s="11">
        <v>254.47</v>
      </c>
      <c r="AS28" s="10">
        <v>3494.54</v>
      </c>
      <c r="AT28" s="11">
        <v>362.94</v>
      </c>
      <c r="AU28" s="91">
        <v>53238.32</v>
      </c>
      <c r="AV28" s="121">
        <v>6960.83</v>
      </c>
      <c r="AW28" s="56">
        <v>7304.32</v>
      </c>
      <c r="AX28" s="11">
        <v>637.97</v>
      </c>
      <c r="AY28" s="10">
        <v>4859.92</v>
      </c>
      <c r="AZ28" s="11">
        <v>670.26</v>
      </c>
      <c r="BA28" s="11">
        <v>419.57</v>
      </c>
      <c r="BB28" s="11">
        <v>80.5</v>
      </c>
      <c r="BC28" s="11">
        <v>235.39</v>
      </c>
      <c r="BD28" s="11">
        <v>107.46</v>
      </c>
      <c r="BE28" s="91">
        <v>12819.19</v>
      </c>
      <c r="BF28" s="121">
        <v>1496.19</v>
      </c>
      <c r="BG28" s="56">
        <v>13667.35</v>
      </c>
      <c r="BH28" s="163">
        <v>789.95</v>
      </c>
      <c r="BI28" s="148">
        <v>154188.93</v>
      </c>
      <c r="BJ28" s="182">
        <v>21304.31</v>
      </c>
    </row>
    <row r="29" spans="1:68" x14ac:dyDescent="0.25">
      <c r="A29" s="282"/>
      <c r="B29" s="285"/>
      <c r="C29" s="9">
        <v>10</v>
      </c>
      <c r="D29" s="237">
        <v>22</v>
      </c>
      <c r="E29" s="56">
        <v>20235.150000000001</v>
      </c>
      <c r="F29" s="10">
        <v>4637.6400000000003</v>
      </c>
      <c r="G29" s="11">
        <v>23.51</v>
      </c>
      <c r="H29" s="11">
        <v>12.16</v>
      </c>
      <c r="I29" s="11">
        <v>50.64</v>
      </c>
      <c r="J29" s="11">
        <v>8.99</v>
      </c>
      <c r="K29" s="10">
        <v>1840.57</v>
      </c>
      <c r="L29" s="11">
        <v>481.44</v>
      </c>
      <c r="M29" s="10">
        <v>15842.43</v>
      </c>
      <c r="N29" s="10">
        <v>4445.4799999999996</v>
      </c>
      <c r="O29" s="91">
        <v>37992.300000000003</v>
      </c>
      <c r="P29" s="121">
        <v>9585.7099999999991</v>
      </c>
      <c r="Q29" s="56">
        <v>6985.14</v>
      </c>
      <c r="R29" s="10">
        <v>1079.72</v>
      </c>
      <c r="S29" s="11">
        <v>51.16</v>
      </c>
      <c r="T29" s="11">
        <v>20.260000000000002</v>
      </c>
      <c r="U29" s="11">
        <v>385.38</v>
      </c>
      <c r="V29" s="11">
        <v>78.760000000000005</v>
      </c>
      <c r="W29" s="25"/>
      <c r="X29" s="25"/>
      <c r="Y29" s="91">
        <v>7421.68</v>
      </c>
      <c r="Z29" s="121">
        <v>1178.73</v>
      </c>
      <c r="AA29" s="56">
        <v>26758.12</v>
      </c>
      <c r="AB29" s="11">
        <v>914.88</v>
      </c>
      <c r="AC29" s="10">
        <v>8548.06</v>
      </c>
      <c r="AD29" s="10">
        <v>1255.5899999999999</v>
      </c>
      <c r="AE29" s="10">
        <v>6551.63</v>
      </c>
      <c r="AF29" s="11">
        <v>225.85</v>
      </c>
      <c r="AG29" s="11">
        <v>347.1</v>
      </c>
      <c r="AH29" s="11">
        <v>61.9</v>
      </c>
      <c r="AI29" s="91">
        <v>42204.9</v>
      </c>
      <c r="AJ29" s="121">
        <v>2458.2199999999998</v>
      </c>
      <c r="AK29" s="56">
        <v>43380.41</v>
      </c>
      <c r="AL29" s="10">
        <v>6085.49</v>
      </c>
      <c r="AM29" s="10">
        <v>7157.73</v>
      </c>
      <c r="AN29" s="11">
        <v>494.95</v>
      </c>
      <c r="AO29" s="10">
        <v>4924.55</v>
      </c>
      <c r="AP29" s="11">
        <v>465.05</v>
      </c>
      <c r="AQ29" s="11">
        <v>383.53</v>
      </c>
      <c r="AR29" s="11">
        <v>179.54</v>
      </c>
      <c r="AS29" s="10">
        <v>3742.74</v>
      </c>
      <c r="AT29" s="11">
        <v>384.1</v>
      </c>
      <c r="AU29" s="91">
        <v>59588.959999999999</v>
      </c>
      <c r="AV29" s="121">
        <v>7609.13</v>
      </c>
      <c r="AW29" s="56">
        <v>7555.56</v>
      </c>
      <c r="AX29" s="11">
        <v>646.79999999999995</v>
      </c>
      <c r="AY29" s="10">
        <v>5299.94</v>
      </c>
      <c r="AZ29" s="11">
        <v>717.95</v>
      </c>
      <c r="BA29" s="10">
        <v>2856.59</v>
      </c>
      <c r="BB29" s="11">
        <v>524.92999999999995</v>
      </c>
      <c r="BC29" s="11">
        <v>146.9</v>
      </c>
      <c r="BD29" s="11">
        <v>61.82</v>
      </c>
      <c r="BE29" s="91">
        <v>15858.98</v>
      </c>
      <c r="BF29" s="121">
        <v>1951.49</v>
      </c>
      <c r="BG29" s="56">
        <v>13645.06</v>
      </c>
      <c r="BH29" s="163">
        <v>864.28</v>
      </c>
      <c r="BI29" s="148">
        <v>176711.87</v>
      </c>
      <c r="BJ29" s="182">
        <v>23647.56</v>
      </c>
    </row>
    <row r="30" spans="1:68" x14ac:dyDescent="0.25">
      <c r="A30" s="282"/>
      <c r="B30" s="285"/>
      <c r="C30" s="9">
        <v>11</v>
      </c>
      <c r="D30" s="237">
        <v>23</v>
      </c>
      <c r="E30" s="56">
        <v>16134.38</v>
      </c>
      <c r="F30" s="10">
        <v>3739.67</v>
      </c>
      <c r="G30" s="11">
        <v>18.100000000000001</v>
      </c>
      <c r="H30" s="11">
        <v>6.94</v>
      </c>
      <c r="I30" s="11">
        <v>36.630000000000003</v>
      </c>
      <c r="J30" s="11">
        <v>10.199999999999999</v>
      </c>
      <c r="K30" s="10">
        <v>1616.94</v>
      </c>
      <c r="L30" s="11">
        <v>391.95</v>
      </c>
      <c r="M30" s="10">
        <v>13908.65</v>
      </c>
      <c r="N30" s="10">
        <v>4071.34</v>
      </c>
      <c r="O30" s="91">
        <v>31714.7</v>
      </c>
      <c r="P30" s="121">
        <v>8220.1</v>
      </c>
      <c r="Q30" s="56">
        <v>6222.05</v>
      </c>
      <c r="R30" s="10">
        <v>1014.58</v>
      </c>
      <c r="S30" s="11">
        <v>38.159999999999997</v>
      </c>
      <c r="T30" s="11">
        <v>26.25</v>
      </c>
      <c r="U30" s="11">
        <v>280.7</v>
      </c>
      <c r="V30" s="11">
        <v>63.8</v>
      </c>
      <c r="W30" s="25"/>
      <c r="X30" s="25"/>
      <c r="Y30" s="91">
        <v>6540.91</v>
      </c>
      <c r="Z30" s="121">
        <v>1104.6300000000001</v>
      </c>
      <c r="AA30" s="56">
        <v>23038.09</v>
      </c>
      <c r="AB30" s="11">
        <v>879.38</v>
      </c>
      <c r="AC30" s="10">
        <v>8230.2000000000007</v>
      </c>
      <c r="AD30" s="10">
        <v>1274.18</v>
      </c>
      <c r="AE30" s="10">
        <v>4899.7</v>
      </c>
      <c r="AF30" s="11">
        <v>158.53</v>
      </c>
      <c r="AG30" s="11">
        <v>291.77</v>
      </c>
      <c r="AH30" s="11">
        <v>50.68</v>
      </c>
      <c r="AI30" s="91">
        <v>36459.75</v>
      </c>
      <c r="AJ30" s="121">
        <v>2362.77</v>
      </c>
      <c r="AK30" s="56">
        <v>33382.050000000003</v>
      </c>
      <c r="AL30" s="10">
        <v>4696.63</v>
      </c>
      <c r="AM30" s="10">
        <v>6231.93</v>
      </c>
      <c r="AN30" s="11">
        <v>448.7</v>
      </c>
      <c r="AO30" s="10">
        <v>5234.21</v>
      </c>
      <c r="AP30" s="11">
        <v>520.85</v>
      </c>
      <c r="AQ30" s="11">
        <v>345.87</v>
      </c>
      <c r="AR30" s="11">
        <v>210.23</v>
      </c>
      <c r="AS30" s="10">
        <v>2882.7</v>
      </c>
      <c r="AT30" s="11">
        <v>297.39</v>
      </c>
      <c r="AU30" s="91">
        <v>48076.75</v>
      </c>
      <c r="AV30" s="121">
        <v>6173.81</v>
      </c>
      <c r="AW30" s="56">
        <v>7585.59</v>
      </c>
      <c r="AX30" s="11">
        <v>699.27</v>
      </c>
      <c r="AY30" s="10">
        <v>4794.1400000000003</v>
      </c>
      <c r="AZ30" s="11">
        <v>834.1</v>
      </c>
      <c r="BA30" s="10">
        <v>3061.35</v>
      </c>
      <c r="BB30" s="11">
        <v>531.70000000000005</v>
      </c>
      <c r="BC30" s="11">
        <v>259.07</v>
      </c>
      <c r="BD30" s="11">
        <v>120.01</v>
      </c>
      <c r="BE30" s="91">
        <v>15700.16</v>
      </c>
      <c r="BF30" s="121">
        <v>2185.09</v>
      </c>
      <c r="BG30" s="56">
        <v>11392.35</v>
      </c>
      <c r="BH30" s="163">
        <v>745.91</v>
      </c>
      <c r="BI30" s="148">
        <v>149884.62</v>
      </c>
      <c r="BJ30" s="182">
        <v>20792.3</v>
      </c>
    </row>
    <row r="31" spans="1:68" x14ac:dyDescent="0.25">
      <c r="A31" s="283"/>
      <c r="B31" s="286"/>
      <c r="C31" s="9">
        <v>12</v>
      </c>
      <c r="D31" s="237">
        <v>24</v>
      </c>
      <c r="E31" s="56">
        <v>14229.18</v>
      </c>
      <c r="F31" s="10">
        <v>3203.04</v>
      </c>
      <c r="G31" s="11">
        <v>25.84</v>
      </c>
      <c r="H31" s="11">
        <v>9.4700000000000006</v>
      </c>
      <c r="I31" s="11">
        <v>21.07</v>
      </c>
      <c r="J31" s="11">
        <v>7.87</v>
      </c>
      <c r="K31" s="10">
        <v>1743.81</v>
      </c>
      <c r="L31" s="11">
        <v>410.33</v>
      </c>
      <c r="M31" s="10">
        <v>12395.61</v>
      </c>
      <c r="N31" s="10">
        <v>3434.84</v>
      </c>
      <c r="O31" s="91">
        <v>28415.52</v>
      </c>
      <c r="P31" s="121">
        <v>7065.55</v>
      </c>
      <c r="Q31" s="56">
        <v>5037.2</v>
      </c>
      <c r="R31" s="11">
        <v>848.77</v>
      </c>
      <c r="S31" s="11">
        <v>36.24</v>
      </c>
      <c r="T31" s="11">
        <v>20.34</v>
      </c>
      <c r="U31" s="11">
        <v>287.18</v>
      </c>
      <c r="V31" s="11">
        <v>62.1</v>
      </c>
      <c r="W31" s="25"/>
      <c r="X31" s="25"/>
      <c r="Y31" s="91">
        <v>5360.62</v>
      </c>
      <c r="Z31" s="135">
        <v>931.21</v>
      </c>
      <c r="AA31" s="56">
        <v>25875.31</v>
      </c>
      <c r="AB31" s="11">
        <v>876.88</v>
      </c>
      <c r="AC31" s="10">
        <v>6682.64</v>
      </c>
      <c r="AD31" s="11">
        <v>946.5</v>
      </c>
      <c r="AE31" s="10">
        <v>6528.22</v>
      </c>
      <c r="AF31" s="11">
        <v>224.33</v>
      </c>
      <c r="AG31" s="11">
        <v>378.97</v>
      </c>
      <c r="AH31" s="11">
        <v>59.47</v>
      </c>
      <c r="AI31" s="91">
        <v>39465.14</v>
      </c>
      <c r="AJ31" s="121">
        <v>2107.1799999999998</v>
      </c>
      <c r="AK31" s="56">
        <v>31990.5</v>
      </c>
      <c r="AL31" s="10">
        <v>4289.76</v>
      </c>
      <c r="AM31" s="10">
        <v>6582.2</v>
      </c>
      <c r="AN31" s="11">
        <v>476.47</v>
      </c>
      <c r="AO31" s="10">
        <v>3960.28</v>
      </c>
      <c r="AP31" s="11">
        <v>432.07</v>
      </c>
      <c r="AQ31" s="11">
        <v>266.05</v>
      </c>
      <c r="AR31" s="11">
        <v>97.02</v>
      </c>
      <c r="AS31" s="10">
        <v>2712.86</v>
      </c>
      <c r="AT31" s="11">
        <v>301.92</v>
      </c>
      <c r="AU31" s="91">
        <v>45511.9</v>
      </c>
      <c r="AV31" s="121">
        <v>5597.24</v>
      </c>
      <c r="AW31" s="56">
        <v>7826.32</v>
      </c>
      <c r="AX31" s="11">
        <v>740.23</v>
      </c>
      <c r="AY31" s="10">
        <v>4688.1499999999996</v>
      </c>
      <c r="AZ31" s="11">
        <v>659.44</v>
      </c>
      <c r="BA31" s="10">
        <v>1757.07</v>
      </c>
      <c r="BB31" s="11">
        <v>300.47000000000003</v>
      </c>
      <c r="BC31" s="11">
        <v>171.7</v>
      </c>
      <c r="BD31" s="11">
        <v>69.19</v>
      </c>
      <c r="BE31" s="91">
        <v>14443.25</v>
      </c>
      <c r="BF31" s="121">
        <v>1769.34</v>
      </c>
      <c r="BG31" s="56">
        <v>14406.01</v>
      </c>
      <c r="BH31" s="163">
        <v>863.12</v>
      </c>
      <c r="BI31" s="148">
        <v>147602.43</v>
      </c>
      <c r="BJ31" s="182">
        <v>18333.650000000001</v>
      </c>
    </row>
    <row r="32" spans="1:68" x14ac:dyDescent="0.25">
      <c r="A32" s="253">
        <v>2552</v>
      </c>
      <c r="B32" s="256">
        <v>2009</v>
      </c>
      <c r="C32" s="12">
        <v>1</v>
      </c>
      <c r="D32" s="238">
        <v>25</v>
      </c>
      <c r="E32" s="115">
        <v>10527.3</v>
      </c>
      <c r="F32" s="13">
        <v>2352.08</v>
      </c>
      <c r="G32" s="14">
        <v>8.75</v>
      </c>
      <c r="H32" s="14">
        <v>3.34</v>
      </c>
      <c r="I32" s="14">
        <v>194.17</v>
      </c>
      <c r="J32" s="14">
        <v>25.48</v>
      </c>
      <c r="K32" s="13">
        <v>1569.06</v>
      </c>
      <c r="L32" s="14">
        <v>342.5</v>
      </c>
      <c r="M32" s="13">
        <v>9233.43</v>
      </c>
      <c r="N32" s="13">
        <v>2494.63</v>
      </c>
      <c r="O32" s="92">
        <v>21532.7</v>
      </c>
      <c r="P32" s="122">
        <v>5218.03</v>
      </c>
      <c r="Q32" s="115">
        <v>5148.99</v>
      </c>
      <c r="R32" s="14">
        <v>750.36</v>
      </c>
      <c r="S32" s="14">
        <v>39.9</v>
      </c>
      <c r="T32" s="14">
        <v>15.64</v>
      </c>
      <c r="U32" s="14">
        <v>183.06</v>
      </c>
      <c r="V32" s="14">
        <v>37.22</v>
      </c>
      <c r="W32" s="26"/>
      <c r="X32" s="26"/>
      <c r="Y32" s="92">
        <v>5371.96</v>
      </c>
      <c r="Z32" s="136">
        <v>803.22</v>
      </c>
      <c r="AA32" s="115">
        <v>23608.46</v>
      </c>
      <c r="AB32" s="14">
        <v>754.74</v>
      </c>
      <c r="AC32" s="13">
        <v>5915.58</v>
      </c>
      <c r="AD32" s="14">
        <v>815.45</v>
      </c>
      <c r="AE32" s="13">
        <v>5530.85</v>
      </c>
      <c r="AF32" s="14">
        <v>176.37</v>
      </c>
      <c r="AG32" s="14">
        <v>444.94</v>
      </c>
      <c r="AH32" s="14">
        <v>60.81</v>
      </c>
      <c r="AI32" s="92">
        <v>35499.82</v>
      </c>
      <c r="AJ32" s="122">
        <v>1807.37</v>
      </c>
      <c r="AK32" s="115">
        <v>30598.01</v>
      </c>
      <c r="AL32" s="13">
        <v>3625.95</v>
      </c>
      <c r="AM32" s="13">
        <v>5746.35</v>
      </c>
      <c r="AN32" s="14">
        <v>405.44</v>
      </c>
      <c r="AO32" s="13">
        <v>3649.97</v>
      </c>
      <c r="AP32" s="14">
        <v>415.43</v>
      </c>
      <c r="AQ32" s="14">
        <v>227.79</v>
      </c>
      <c r="AR32" s="14">
        <v>97.24</v>
      </c>
      <c r="AS32" s="13">
        <v>2506.6999999999998</v>
      </c>
      <c r="AT32" s="14">
        <v>257.57</v>
      </c>
      <c r="AU32" s="92">
        <v>42728.81</v>
      </c>
      <c r="AV32" s="122">
        <v>4801.62</v>
      </c>
      <c r="AW32" s="115">
        <v>7370.07</v>
      </c>
      <c r="AX32" s="14">
        <v>665.19</v>
      </c>
      <c r="AY32" s="13">
        <v>3605.91</v>
      </c>
      <c r="AZ32" s="14">
        <v>516.70000000000005</v>
      </c>
      <c r="BA32" s="13">
        <v>3497.75</v>
      </c>
      <c r="BB32" s="14">
        <v>456.46</v>
      </c>
      <c r="BC32" s="14">
        <v>190.44</v>
      </c>
      <c r="BD32" s="14">
        <v>63.73</v>
      </c>
      <c r="BE32" s="92">
        <v>14664.18</v>
      </c>
      <c r="BF32" s="122">
        <v>1702.08</v>
      </c>
      <c r="BG32" s="115">
        <v>12300.5</v>
      </c>
      <c r="BH32" s="164">
        <v>753.47</v>
      </c>
      <c r="BI32" s="149">
        <v>132097.97</v>
      </c>
      <c r="BJ32" s="183">
        <v>15085.79</v>
      </c>
    </row>
    <row r="33" spans="1:62" x14ac:dyDescent="0.25">
      <c r="A33" s="254"/>
      <c r="B33" s="257"/>
      <c r="C33" s="12">
        <v>2</v>
      </c>
      <c r="D33" s="238">
        <v>26</v>
      </c>
      <c r="E33" s="115">
        <v>10826.22</v>
      </c>
      <c r="F33" s="13">
        <v>2527.7800000000002</v>
      </c>
      <c r="G33" s="14">
        <v>8.66</v>
      </c>
      <c r="H33" s="14">
        <v>2.86</v>
      </c>
      <c r="I33" s="14">
        <v>123.69</v>
      </c>
      <c r="J33" s="14">
        <v>16.07</v>
      </c>
      <c r="K33" s="14">
        <v>960.56</v>
      </c>
      <c r="L33" s="14">
        <v>224.17</v>
      </c>
      <c r="M33" s="13">
        <v>9117.43</v>
      </c>
      <c r="N33" s="13">
        <v>2572.81</v>
      </c>
      <c r="O33" s="92">
        <v>21036.560000000001</v>
      </c>
      <c r="P33" s="122">
        <v>5343.69</v>
      </c>
      <c r="Q33" s="115">
        <v>5964.64</v>
      </c>
      <c r="R33" s="14">
        <v>865.86</v>
      </c>
      <c r="S33" s="14">
        <v>15.05</v>
      </c>
      <c r="T33" s="14">
        <v>8.69</v>
      </c>
      <c r="U33" s="14">
        <v>216.93</v>
      </c>
      <c r="V33" s="14">
        <v>51.56</v>
      </c>
      <c r="W33" s="26"/>
      <c r="X33" s="26"/>
      <c r="Y33" s="92">
        <v>6196.63</v>
      </c>
      <c r="Z33" s="136">
        <v>926.11</v>
      </c>
      <c r="AA33" s="115">
        <v>20339.62</v>
      </c>
      <c r="AB33" s="14">
        <v>685.48</v>
      </c>
      <c r="AC33" s="13">
        <v>7099.13</v>
      </c>
      <c r="AD33" s="14">
        <v>895.44</v>
      </c>
      <c r="AE33" s="13">
        <v>6373.06</v>
      </c>
      <c r="AF33" s="14">
        <v>217.98</v>
      </c>
      <c r="AG33" s="14">
        <v>397.08</v>
      </c>
      <c r="AH33" s="14">
        <v>61.24</v>
      </c>
      <c r="AI33" s="92">
        <v>34208.89</v>
      </c>
      <c r="AJ33" s="122">
        <v>1860.14</v>
      </c>
      <c r="AK33" s="115">
        <v>32778.65</v>
      </c>
      <c r="AL33" s="13">
        <v>3594.73</v>
      </c>
      <c r="AM33" s="13">
        <v>6340.08</v>
      </c>
      <c r="AN33" s="14">
        <v>471.01</v>
      </c>
      <c r="AO33" s="13">
        <v>2961.27</v>
      </c>
      <c r="AP33" s="14">
        <v>338.12</v>
      </c>
      <c r="AQ33" s="14">
        <v>236.91</v>
      </c>
      <c r="AR33" s="14">
        <v>95.9</v>
      </c>
      <c r="AS33" s="13">
        <v>2820.19</v>
      </c>
      <c r="AT33" s="14">
        <v>282.23</v>
      </c>
      <c r="AU33" s="92">
        <v>45137.09</v>
      </c>
      <c r="AV33" s="122">
        <v>4782</v>
      </c>
      <c r="AW33" s="115">
        <v>7613.44</v>
      </c>
      <c r="AX33" s="14">
        <v>695.57</v>
      </c>
      <c r="AY33" s="13">
        <v>3994.32</v>
      </c>
      <c r="AZ33" s="14">
        <v>568.84</v>
      </c>
      <c r="BA33" s="13">
        <v>2536.29</v>
      </c>
      <c r="BB33" s="14">
        <v>272.73</v>
      </c>
      <c r="BC33" s="14">
        <v>135.09</v>
      </c>
      <c r="BD33" s="14">
        <v>58.44</v>
      </c>
      <c r="BE33" s="92">
        <v>14279.13</v>
      </c>
      <c r="BF33" s="122">
        <v>1595.58</v>
      </c>
      <c r="BG33" s="115">
        <v>11796.82</v>
      </c>
      <c r="BH33" s="164">
        <v>718.93</v>
      </c>
      <c r="BI33" s="149">
        <v>132655.12</v>
      </c>
      <c r="BJ33" s="183">
        <v>15226.44</v>
      </c>
    </row>
    <row r="34" spans="1:62" x14ac:dyDescent="0.25">
      <c r="A34" s="254"/>
      <c r="B34" s="257"/>
      <c r="C34" s="12">
        <v>3</v>
      </c>
      <c r="D34" s="238">
        <v>27</v>
      </c>
      <c r="E34" s="115">
        <v>11731.2</v>
      </c>
      <c r="F34" s="13">
        <v>2784.57</v>
      </c>
      <c r="G34" s="14">
        <v>8.66</v>
      </c>
      <c r="H34" s="14">
        <v>2.93</v>
      </c>
      <c r="I34" s="14">
        <v>42.09</v>
      </c>
      <c r="J34" s="14">
        <v>10.96</v>
      </c>
      <c r="K34" s="13">
        <v>1035.48</v>
      </c>
      <c r="L34" s="14">
        <v>230.21</v>
      </c>
      <c r="M34" s="13">
        <v>9578.41</v>
      </c>
      <c r="N34" s="13">
        <v>2468.5700000000002</v>
      </c>
      <c r="O34" s="92">
        <v>22395.84</v>
      </c>
      <c r="P34" s="122">
        <v>5497.24</v>
      </c>
      <c r="Q34" s="115">
        <v>6539.79</v>
      </c>
      <c r="R34" s="14">
        <v>896.52</v>
      </c>
      <c r="S34" s="14">
        <v>19.32</v>
      </c>
      <c r="T34" s="14">
        <v>9.81</v>
      </c>
      <c r="U34" s="14">
        <v>214.16</v>
      </c>
      <c r="V34" s="14">
        <v>53.96</v>
      </c>
      <c r="W34" s="26"/>
      <c r="X34" s="26"/>
      <c r="Y34" s="92">
        <v>6773.27</v>
      </c>
      <c r="Z34" s="136">
        <v>960.29</v>
      </c>
      <c r="AA34" s="115">
        <v>19928.45</v>
      </c>
      <c r="AB34" s="14">
        <v>618.48</v>
      </c>
      <c r="AC34" s="13">
        <v>9030.61</v>
      </c>
      <c r="AD34" s="13">
        <v>1014.67</v>
      </c>
      <c r="AE34" s="13">
        <v>4475.82</v>
      </c>
      <c r="AF34" s="14">
        <v>137.91</v>
      </c>
      <c r="AG34" s="14">
        <v>473.81</v>
      </c>
      <c r="AH34" s="14">
        <v>98.62</v>
      </c>
      <c r="AI34" s="92">
        <v>33908.69</v>
      </c>
      <c r="AJ34" s="122">
        <v>1869.68</v>
      </c>
      <c r="AK34" s="115">
        <v>42760.94</v>
      </c>
      <c r="AL34" s="13">
        <v>4707.92</v>
      </c>
      <c r="AM34" s="13">
        <v>7640.05</v>
      </c>
      <c r="AN34" s="14">
        <v>552.09</v>
      </c>
      <c r="AO34" s="13">
        <v>3002.35</v>
      </c>
      <c r="AP34" s="14">
        <v>316.73</v>
      </c>
      <c r="AQ34" s="14">
        <v>259.83999999999997</v>
      </c>
      <c r="AR34" s="14">
        <v>100.97</v>
      </c>
      <c r="AS34" s="13">
        <v>2655.12</v>
      </c>
      <c r="AT34" s="14">
        <v>268.76</v>
      </c>
      <c r="AU34" s="92">
        <v>56318.28</v>
      </c>
      <c r="AV34" s="122">
        <v>5946.47</v>
      </c>
      <c r="AW34" s="115">
        <v>7670.07</v>
      </c>
      <c r="AX34" s="14">
        <v>697.99</v>
      </c>
      <c r="AY34" s="13">
        <v>3900.31</v>
      </c>
      <c r="AZ34" s="14">
        <v>557.86</v>
      </c>
      <c r="BA34" s="13">
        <v>3520.82</v>
      </c>
      <c r="BB34" s="14">
        <v>370.05</v>
      </c>
      <c r="BC34" s="14">
        <v>112.89</v>
      </c>
      <c r="BD34" s="14">
        <v>39.72</v>
      </c>
      <c r="BE34" s="92">
        <v>15204.09</v>
      </c>
      <c r="BF34" s="122">
        <v>1665.61</v>
      </c>
      <c r="BG34" s="115">
        <v>13600.33</v>
      </c>
      <c r="BH34" s="164">
        <v>898.51</v>
      </c>
      <c r="BI34" s="149">
        <v>148200.5</v>
      </c>
      <c r="BJ34" s="183">
        <v>16837.8</v>
      </c>
    </row>
    <row r="35" spans="1:62" x14ac:dyDescent="0.25">
      <c r="A35" s="254"/>
      <c r="B35" s="257"/>
      <c r="C35" s="12">
        <v>4</v>
      </c>
      <c r="D35" s="238">
        <v>28</v>
      </c>
      <c r="E35" s="115">
        <v>13269.32</v>
      </c>
      <c r="F35" s="13">
        <v>2993.32</v>
      </c>
      <c r="G35" s="14">
        <v>21.41</v>
      </c>
      <c r="H35" s="14">
        <v>5.99</v>
      </c>
      <c r="I35" s="14">
        <v>20.170000000000002</v>
      </c>
      <c r="J35" s="14">
        <v>3.95</v>
      </c>
      <c r="K35" s="13">
        <v>1265.98</v>
      </c>
      <c r="L35" s="14">
        <v>285.77</v>
      </c>
      <c r="M35" s="13">
        <v>9701.9</v>
      </c>
      <c r="N35" s="13">
        <v>2884.2</v>
      </c>
      <c r="O35" s="92">
        <v>24278.77</v>
      </c>
      <c r="P35" s="122">
        <v>6173.23</v>
      </c>
      <c r="Q35" s="115">
        <v>6364.85</v>
      </c>
      <c r="R35" s="14">
        <v>914.01</v>
      </c>
      <c r="S35" s="14">
        <v>31.44</v>
      </c>
      <c r="T35" s="14">
        <v>18.149999999999999</v>
      </c>
      <c r="U35" s="14">
        <v>246.12</v>
      </c>
      <c r="V35" s="14">
        <v>50.6</v>
      </c>
      <c r="W35" s="26"/>
      <c r="X35" s="26"/>
      <c r="Y35" s="92">
        <v>6642.42</v>
      </c>
      <c r="Z35" s="136">
        <v>982.77</v>
      </c>
      <c r="AA35" s="115">
        <v>19252.150000000001</v>
      </c>
      <c r="AB35" s="14">
        <v>547.45000000000005</v>
      </c>
      <c r="AC35" s="13">
        <v>9684.18</v>
      </c>
      <c r="AD35" s="13">
        <v>1137.58</v>
      </c>
      <c r="AE35" s="13">
        <v>3660.19</v>
      </c>
      <c r="AF35" s="14">
        <v>129.96</v>
      </c>
      <c r="AG35" s="14">
        <v>535.07000000000005</v>
      </c>
      <c r="AH35" s="14">
        <v>78.81</v>
      </c>
      <c r="AI35" s="92">
        <v>33131.589999999997</v>
      </c>
      <c r="AJ35" s="122">
        <v>1893.8</v>
      </c>
      <c r="AK35" s="115">
        <v>38506.379999999997</v>
      </c>
      <c r="AL35" s="13">
        <v>4325.47</v>
      </c>
      <c r="AM35" s="13">
        <v>6841.07</v>
      </c>
      <c r="AN35" s="14">
        <v>477.96</v>
      </c>
      <c r="AO35" s="13">
        <v>3121.32</v>
      </c>
      <c r="AP35" s="14">
        <v>397.49</v>
      </c>
      <c r="AQ35" s="14">
        <v>190.3</v>
      </c>
      <c r="AR35" s="14">
        <v>77.02</v>
      </c>
      <c r="AS35" s="13">
        <v>2985.24</v>
      </c>
      <c r="AT35" s="14">
        <v>293.32</v>
      </c>
      <c r="AU35" s="92">
        <v>51644.31</v>
      </c>
      <c r="AV35" s="122">
        <v>5571.26</v>
      </c>
      <c r="AW35" s="115">
        <v>6557.96</v>
      </c>
      <c r="AX35" s="14">
        <v>617.13</v>
      </c>
      <c r="AY35" s="13">
        <v>4151.6499999999996</v>
      </c>
      <c r="AZ35" s="14">
        <v>640.41999999999996</v>
      </c>
      <c r="BA35" s="13">
        <v>2019.41</v>
      </c>
      <c r="BB35" s="14">
        <v>230.5</v>
      </c>
      <c r="BC35" s="14">
        <v>105.55</v>
      </c>
      <c r="BD35" s="14">
        <v>39.24</v>
      </c>
      <c r="BE35" s="92">
        <v>12834.56</v>
      </c>
      <c r="BF35" s="122">
        <v>1527.29</v>
      </c>
      <c r="BG35" s="115">
        <v>13957.19</v>
      </c>
      <c r="BH35" s="164">
        <v>846.75</v>
      </c>
      <c r="BI35" s="149">
        <v>142488.84</v>
      </c>
      <c r="BJ35" s="183">
        <v>16995.099999999999</v>
      </c>
    </row>
    <row r="36" spans="1:62" x14ac:dyDescent="0.25">
      <c r="A36" s="254"/>
      <c r="B36" s="257"/>
      <c r="C36" s="12">
        <v>5</v>
      </c>
      <c r="D36" s="238">
        <v>29</v>
      </c>
      <c r="E36" s="115">
        <v>17521.55</v>
      </c>
      <c r="F36" s="13">
        <v>3907.75</v>
      </c>
      <c r="G36" s="14">
        <v>18.260000000000002</v>
      </c>
      <c r="H36" s="14">
        <v>8.08</v>
      </c>
      <c r="I36" s="14">
        <v>8.32</v>
      </c>
      <c r="J36" s="14">
        <v>4.0999999999999996</v>
      </c>
      <c r="K36" s="13">
        <v>1435.55</v>
      </c>
      <c r="L36" s="14">
        <v>331.73</v>
      </c>
      <c r="M36" s="13">
        <v>10742.05</v>
      </c>
      <c r="N36" s="13">
        <v>2921.77</v>
      </c>
      <c r="O36" s="92">
        <v>29725.74</v>
      </c>
      <c r="P36" s="122">
        <v>7173.42</v>
      </c>
      <c r="Q36" s="115">
        <v>7389.52</v>
      </c>
      <c r="R36" s="13">
        <v>1088.0899999999999</v>
      </c>
      <c r="S36" s="14">
        <v>37.24</v>
      </c>
      <c r="T36" s="14">
        <v>19.25</v>
      </c>
      <c r="U36" s="14">
        <v>180.94</v>
      </c>
      <c r="V36" s="14">
        <v>43.85</v>
      </c>
      <c r="W36" s="26"/>
      <c r="X36" s="26"/>
      <c r="Y36" s="92">
        <v>7607.7</v>
      </c>
      <c r="Z36" s="122">
        <v>1151.2</v>
      </c>
      <c r="AA36" s="115">
        <v>20271.57</v>
      </c>
      <c r="AB36" s="14">
        <v>602.88</v>
      </c>
      <c r="AC36" s="13">
        <v>10596.2</v>
      </c>
      <c r="AD36" s="13">
        <v>1196.8599999999999</v>
      </c>
      <c r="AE36" s="13">
        <v>4798.4799999999996</v>
      </c>
      <c r="AF36" s="14">
        <v>166.42</v>
      </c>
      <c r="AG36" s="14">
        <v>477.98</v>
      </c>
      <c r="AH36" s="14">
        <v>72.599999999999994</v>
      </c>
      <c r="AI36" s="92">
        <v>36144.230000000003</v>
      </c>
      <c r="AJ36" s="122">
        <v>2038.77</v>
      </c>
      <c r="AK36" s="115">
        <v>39240.25</v>
      </c>
      <c r="AL36" s="13">
        <v>4317.03</v>
      </c>
      <c r="AM36" s="13">
        <v>6666.39</v>
      </c>
      <c r="AN36" s="14">
        <v>491.13</v>
      </c>
      <c r="AO36" s="13">
        <v>3104.59</v>
      </c>
      <c r="AP36" s="14">
        <v>336.84</v>
      </c>
      <c r="AQ36" s="14">
        <v>178.55</v>
      </c>
      <c r="AR36" s="14">
        <v>74.08</v>
      </c>
      <c r="AS36" s="13">
        <v>3557.86</v>
      </c>
      <c r="AT36" s="14">
        <v>352.72</v>
      </c>
      <c r="AU36" s="92">
        <v>52747.64</v>
      </c>
      <c r="AV36" s="122">
        <v>5571.8</v>
      </c>
      <c r="AW36" s="115">
        <v>6570.41</v>
      </c>
      <c r="AX36" s="14">
        <v>545.6</v>
      </c>
      <c r="AY36" s="13">
        <v>3976.96</v>
      </c>
      <c r="AZ36" s="14">
        <v>594.39</v>
      </c>
      <c r="BA36" s="13">
        <v>2891.31</v>
      </c>
      <c r="BB36" s="14">
        <v>345.58</v>
      </c>
      <c r="BC36" s="14">
        <v>150.34</v>
      </c>
      <c r="BD36" s="14">
        <v>59.45</v>
      </c>
      <c r="BE36" s="92">
        <v>13589.02</v>
      </c>
      <c r="BF36" s="122">
        <v>1545.01</v>
      </c>
      <c r="BG36" s="115">
        <v>14986.83</v>
      </c>
      <c r="BH36" s="164">
        <v>907.73</v>
      </c>
      <c r="BI36" s="149">
        <v>154801.15</v>
      </c>
      <c r="BJ36" s="183">
        <v>18387.93</v>
      </c>
    </row>
    <row r="37" spans="1:62" x14ac:dyDescent="0.25">
      <c r="A37" s="254"/>
      <c r="B37" s="257"/>
      <c r="C37" s="12">
        <v>6</v>
      </c>
      <c r="D37" s="238">
        <v>30</v>
      </c>
      <c r="E37" s="115">
        <v>19426.11</v>
      </c>
      <c r="F37" s="13">
        <v>4241.6099999999997</v>
      </c>
      <c r="G37" s="14">
        <v>17.78</v>
      </c>
      <c r="H37" s="14">
        <v>5.0599999999999996</v>
      </c>
      <c r="I37" s="14">
        <v>13.81</v>
      </c>
      <c r="J37" s="14">
        <v>4.37</v>
      </c>
      <c r="K37" s="13">
        <v>1412.06</v>
      </c>
      <c r="L37" s="14">
        <v>332.26</v>
      </c>
      <c r="M37" s="13">
        <v>11371.51</v>
      </c>
      <c r="N37" s="13">
        <v>3010.47</v>
      </c>
      <c r="O37" s="92">
        <v>32241.27</v>
      </c>
      <c r="P37" s="122">
        <v>7593.78</v>
      </c>
      <c r="Q37" s="115">
        <v>6750.95</v>
      </c>
      <c r="R37" s="13">
        <v>1005.37</v>
      </c>
      <c r="S37" s="14">
        <v>32.61</v>
      </c>
      <c r="T37" s="14">
        <v>11.18</v>
      </c>
      <c r="U37" s="14">
        <v>204.29</v>
      </c>
      <c r="V37" s="14">
        <v>45.78</v>
      </c>
      <c r="W37" s="26"/>
      <c r="X37" s="26"/>
      <c r="Y37" s="92">
        <v>6987.85</v>
      </c>
      <c r="Z37" s="122">
        <v>1062.33</v>
      </c>
      <c r="AA37" s="115">
        <v>17081.189999999999</v>
      </c>
      <c r="AB37" s="14">
        <v>496.63</v>
      </c>
      <c r="AC37" s="13">
        <v>10226.030000000001</v>
      </c>
      <c r="AD37" s="13">
        <v>1127.21</v>
      </c>
      <c r="AE37" s="13">
        <v>5234.51</v>
      </c>
      <c r="AF37" s="14">
        <v>171.87</v>
      </c>
      <c r="AG37" s="14">
        <v>449.1</v>
      </c>
      <c r="AH37" s="14">
        <v>66.75</v>
      </c>
      <c r="AI37" s="92">
        <v>32990.83</v>
      </c>
      <c r="AJ37" s="122">
        <v>1862.46</v>
      </c>
      <c r="AK37" s="115">
        <v>43814.8</v>
      </c>
      <c r="AL37" s="13">
        <v>4729.75</v>
      </c>
      <c r="AM37" s="13">
        <v>6640.42</v>
      </c>
      <c r="AN37" s="14">
        <v>472.83</v>
      </c>
      <c r="AO37" s="13">
        <v>3231.21</v>
      </c>
      <c r="AP37" s="14">
        <v>386.35</v>
      </c>
      <c r="AQ37" s="14">
        <v>287.83999999999997</v>
      </c>
      <c r="AR37" s="14">
        <v>103.2</v>
      </c>
      <c r="AS37" s="13">
        <v>3221.72</v>
      </c>
      <c r="AT37" s="14">
        <v>292.19</v>
      </c>
      <c r="AU37" s="92">
        <v>57195.98</v>
      </c>
      <c r="AV37" s="122">
        <v>5984.32</v>
      </c>
      <c r="AW37" s="115">
        <v>6338.98</v>
      </c>
      <c r="AX37" s="14">
        <v>501.5</v>
      </c>
      <c r="AY37" s="13">
        <v>4286.3500000000004</v>
      </c>
      <c r="AZ37" s="14">
        <v>588.38</v>
      </c>
      <c r="BA37" s="13">
        <v>3146.49</v>
      </c>
      <c r="BB37" s="14">
        <v>343.71</v>
      </c>
      <c r="BC37" s="14">
        <v>95.14</v>
      </c>
      <c r="BD37" s="14">
        <v>41.26</v>
      </c>
      <c r="BE37" s="92">
        <v>13866.96</v>
      </c>
      <c r="BF37" s="122">
        <v>1474.86</v>
      </c>
      <c r="BG37" s="115">
        <v>17615.009999999998</v>
      </c>
      <c r="BH37" s="164">
        <v>968.08</v>
      </c>
      <c r="BI37" s="149">
        <v>160897.9</v>
      </c>
      <c r="BJ37" s="183">
        <v>18945.830000000002</v>
      </c>
    </row>
    <row r="38" spans="1:62" x14ac:dyDescent="0.25">
      <c r="A38" s="254"/>
      <c r="B38" s="257"/>
      <c r="C38" s="12">
        <v>7</v>
      </c>
      <c r="D38" s="238">
        <v>31</v>
      </c>
      <c r="E38" s="115">
        <v>23715.97</v>
      </c>
      <c r="F38" s="13">
        <v>5176.37</v>
      </c>
      <c r="G38" s="14">
        <v>37.32</v>
      </c>
      <c r="H38" s="14">
        <v>10.71</v>
      </c>
      <c r="I38" s="14">
        <v>9.18</v>
      </c>
      <c r="J38" s="14">
        <v>4.0999999999999996</v>
      </c>
      <c r="K38" s="13">
        <v>1763.46</v>
      </c>
      <c r="L38" s="14">
        <v>408.95</v>
      </c>
      <c r="M38" s="13">
        <v>14039.1</v>
      </c>
      <c r="N38" s="13">
        <v>3734.18</v>
      </c>
      <c r="O38" s="92">
        <v>39565.019999999997</v>
      </c>
      <c r="P38" s="122">
        <v>9334.31</v>
      </c>
      <c r="Q38" s="115">
        <v>7195.78</v>
      </c>
      <c r="R38" s="13">
        <v>1027.5899999999999</v>
      </c>
      <c r="S38" s="14">
        <v>28.58</v>
      </c>
      <c r="T38" s="14">
        <v>13.4</v>
      </c>
      <c r="U38" s="14">
        <v>237.64</v>
      </c>
      <c r="V38" s="14">
        <v>59.31</v>
      </c>
      <c r="W38" s="26"/>
      <c r="X38" s="26"/>
      <c r="Y38" s="92">
        <v>7462.01</v>
      </c>
      <c r="Z38" s="122">
        <v>1100.31</v>
      </c>
      <c r="AA38" s="115">
        <v>20601.39</v>
      </c>
      <c r="AB38" s="14">
        <v>664.1</v>
      </c>
      <c r="AC38" s="13">
        <v>9465.65</v>
      </c>
      <c r="AD38" s="13">
        <v>1048.78</v>
      </c>
      <c r="AE38" s="13">
        <v>5754.67</v>
      </c>
      <c r="AF38" s="14">
        <v>204.23</v>
      </c>
      <c r="AG38" s="14">
        <v>498</v>
      </c>
      <c r="AH38" s="14">
        <v>66.27</v>
      </c>
      <c r="AI38" s="92">
        <v>36319.72</v>
      </c>
      <c r="AJ38" s="122">
        <v>1983.39</v>
      </c>
      <c r="AK38" s="115">
        <v>42495.44</v>
      </c>
      <c r="AL38" s="13">
        <v>4581.45</v>
      </c>
      <c r="AM38" s="13">
        <v>5141.1400000000003</v>
      </c>
      <c r="AN38" s="14">
        <v>345.59</v>
      </c>
      <c r="AO38" s="13">
        <v>3323.88</v>
      </c>
      <c r="AP38" s="14">
        <v>341.72</v>
      </c>
      <c r="AQ38" s="14">
        <v>418.59</v>
      </c>
      <c r="AR38" s="14">
        <v>176.03</v>
      </c>
      <c r="AS38" s="13">
        <v>3691.01</v>
      </c>
      <c r="AT38" s="14">
        <v>337.92</v>
      </c>
      <c r="AU38" s="92">
        <v>55070.06</v>
      </c>
      <c r="AV38" s="122">
        <v>5782.7</v>
      </c>
      <c r="AW38" s="115">
        <v>6436.39</v>
      </c>
      <c r="AX38" s="14">
        <v>560.85</v>
      </c>
      <c r="AY38" s="13">
        <v>5171.82</v>
      </c>
      <c r="AZ38" s="14">
        <v>701.54</v>
      </c>
      <c r="BA38" s="13">
        <v>2361.56</v>
      </c>
      <c r="BB38" s="14">
        <v>308.97000000000003</v>
      </c>
      <c r="BC38" s="14">
        <v>188.51</v>
      </c>
      <c r="BD38" s="14">
        <v>87.11</v>
      </c>
      <c r="BE38" s="92">
        <v>14158.28</v>
      </c>
      <c r="BF38" s="122">
        <v>1658.48</v>
      </c>
      <c r="BG38" s="115">
        <v>14645.3</v>
      </c>
      <c r="BH38" s="164">
        <v>863.71</v>
      </c>
      <c r="BI38" s="149">
        <v>167220.38</v>
      </c>
      <c r="BJ38" s="183">
        <v>20722.89</v>
      </c>
    </row>
    <row r="39" spans="1:62" x14ac:dyDescent="0.25">
      <c r="A39" s="254"/>
      <c r="B39" s="257"/>
      <c r="C39" s="12">
        <v>8</v>
      </c>
      <c r="D39" s="238">
        <v>32</v>
      </c>
      <c r="E39" s="115">
        <v>22342.33</v>
      </c>
      <c r="F39" s="13">
        <v>4761.22</v>
      </c>
      <c r="G39" s="14">
        <v>23.44</v>
      </c>
      <c r="H39" s="14">
        <v>5.45</v>
      </c>
      <c r="I39" s="14">
        <v>21.75</v>
      </c>
      <c r="J39" s="14">
        <v>4.5599999999999996</v>
      </c>
      <c r="K39" s="13">
        <v>1189.42</v>
      </c>
      <c r="L39" s="14">
        <v>275.64999999999998</v>
      </c>
      <c r="M39" s="13">
        <v>15293.39</v>
      </c>
      <c r="N39" s="13">
        <v>4101.84</v>
      </c>
      <c r="O39" s="92">
        <v>38870.33</v>
      </c>
      <c r="P39" s="122">
        <v>9148.7099999999991</v>
      </c>
      <c r="Q39" s="115">
        <v>5590.16</v>
      </c>
      <c r="R39" s="14">
        <v>853.28</v>
      </c>
      <c r="S39" s="14">
        <v>36.909999999999997</v>
      </c>
      <c r="T39" s="14">
        <v>16.91</v>
      </c>
      <c r="U39" s="14">
        <v>185.01</v>
      </c>
      <c r="V39" s="14">
        <v>42.81</v>
      </c>
      <c r="W39" s="26"/>
      <c r="X39" s="26"/>
      <c r="Y39" s="92">
        <v>5812.07</v>
      </c>
      <c r="Z39" s="136">
        <v>913</v>
      </c>
      <c r="AA39" s="115">
        <v>16246.92</v>
      </c>
      <c r="AB39" s="14">
        <v>524.58000000000004</v>
      </c>
      <c r="AC39" s="13">
        <v>7692.29</v>
      </c>
      <c r="AD39" s="13">
        <v>1024.48</v>
      </c>
      <c r="AE39" s="13">
        <v>5132.13</v>
      </c>
      <c r="AF39" s="14">
        <v>169.05</v>
      </c>
      <c r="AG39" s="14">
        <v>513.05999999999995</v>
      </c>
      <c r="AH39" s="14">
        <v>98.37</v>
      </c>
      <c r="AI39" s="92">
        <v>29584.39</v>
      </c>
      <c r="AJ39" s="122">
        <v>1816.49</v>
      </c>
      <c r="AK39" s="115">
        <v>38895.589999999997</v>
      </c>
      <c r="AL39" s="13">
        <v>4315.51</v>
      </c>
      <c r="AM39" s="13">
        <v>6034.98</v>
      </c>
      <c r="AN39" s="14">
        <v>398.92</v>
      </c>
      <c r="AO39" s="13">
        <v>3123.85</v>
      </c>
      <c r="AP39" s="14">
        <v>329.36</v>
      </c>
      <c r="AQ39" s="14">
        <v>214.46</v>
      </c>
      <c r="AR39" s="14">
        <v>76.39</v>
      </c>
      <c r="AS39" s="13">
        <v>2839.41</v>
      </c>
      <c r="AT39" s="14">
        <v>263.93</v>
      </c>
      <c r="AU39" s="92">
        <v>51108.29</v>
      </c>
      <c r="AV39" s="122">
        <v>5384.11</v>
      </c>
      <c r="AW39" s="115">
        <v>6478.81</v>
      </c>
      <c r="AX39" s="14">
        <v>485.95</v>
      </c>
      <c r="AY39" s="13">
        <v>3687.07</v>
      </c>
      <c r="AZ39" s="14">
        <v>545.78</v>
      </c>
      <c r="BA39" s="13">
        <v>2177.6999999999998</v>
      </c>
      <c r="BB39" s="14">
        <v>268.62</v>
      </c>
      <c r="BC39" s="14">
        <v>164.51</v>
      </c>
      <c r="BD39" s="14">
        <v>82.94</v>
      </c>
      <c r="BE39" s="92">
        <v>12508.08</v>
      </c>
      <c r="BF39" s="122">
        <v>1383.29</v>
      </c>
      <c r="BG39" s="115">
        <v>12130.46</v>
      </c>
      <c r="BH39" s="164">
        <v>838.56</v>
      </c>
      <c r="BI39" s="149">
        <v>150013.60999999999</v>
      </c>
      <c r="BJ39" s="183">
        <v>19484.169999999998</v>
      </c>
    </row>
    <row r="40" spans="1:62" x14ac:dyDescent="0.25">
      <c r="A40" s="254"/>
      <c r="B40" s="257"/>
      <c r="C40" s="12">
        <v>9</v>
      </c>
      <c r="D40" s="238">
        <v>33</v>
      </c>
      <c r="E40" s="115">
        <v>22150.48</v>
      </c>
      <c r="F40" s="13">
        <v>4860.95</v>
      </c>
      <c r="G40" s="14">
        <v>15.1</v>
      </c>
      <c r="H40" s="14">
        <v>2.0499999999999998</v>
      </c>
      <c r="I40" s="14">
        <v>15.68</v>
      </c>
      <c r="J40" s="14">
        <v>7.19</v>
      </c>
      <c r="K40" s="13">
        <v>1094.6600000000001</v>
      </c>
      <c r="L40" s="14">
        <v>247.22</v>
      </c>
      <c r="M40" s="13">
        <v>17523.07</v>
      </c>
      <c r="N40" s="13">
        <v>4712.6499999999996</v>
      </c>
      <c r="O40" s="92">
        <v>40798.99</v>
      </c>
      <c r="P40" s="122">
        <v>9830.06</v>
      </c>
      <c r="Q40" s="115">
        <v>5752.18</v>
      </c>
      <c r="R40" s="14">
        <v>876.25</v>
      </c>
      <c r="S40" s="14">
        <v>40.909999999999997</v>
      </c>
      <c r="T40" s="14">
        <v>23.65</v>
      </c>
      <c r="U40" s="14">
        <v>249.22</v>
      </c>
      <c r="V40" s="14">
        <v>58.77</v>
      </c>
      <c r="W40" s="26"/>
      <c r="X40" s="26"/>
      <c r="Y40" s="92">
        <v>6042.31</v>
      </c>
      <c r="Z40" s="136">
        <v>958.67</v>
      </c>
      <c r="AA40" s="115">
        <v>17531.86</v>
      </c>
      <c r="AB40" s="14">
        <v>550.70000000000005</v>
      </c>
      <c r="AC40" s="13">
        <v>8898.0499999999993</v>
      </c>
      <c r="AD40" s="13">
        <v>1116.24</v>
      </c>
      <c r="AE40" s="13">
        <v>3682.05</v>
      </c>
      <c r="AF40" s="14">
        <v>118.79</v>
      </c>
      <c r="AG40" s="14">
        <v>679.56</v>
      </c>
      <c r="AH40" s="14">
        <v>89.73</v>
      </c>
      <c r="AI40" s="92">
        <v>30791.51</v>
      </c>
      <c r="AJ40" s="122">
        <v>1875.46</v>
      </c>
      <c r="AK40" s="115">
        <v>44887.24</v>
      </c>
      <c r="AL40" s="13">
        <v>4768.91</v>
      </c>
      <c r="AM40" s="13">
        <v>6104.77</v>
      </c>
      <c r="AN40" s="14">
        <v>446.08</v>
      </c>
      <c r="AO40" s="13">
        <v>3969.02</v>
      </c>
      <c r="AP40" s="14">
        <v>415.74</v>
      </c>
      <c r="AQ40" s="14">
        <v>458.61</v>
      </c>
      <c r="AR40" s="14">
        <v>180.74</v>
      </c>
      <c r="AS40" s="13">
        <v>3247.98</v>
      </c>
      <c r="AT40" s="14">
        <v>304.3</v>
      </c>
      <c r="AU40" s="92">
        <v>58667.63</v>
      </c>
      <c r="AV40" s="122">
        <v>6115.77</v>
      </c>
      <c r="AW40" s="115">
        <v>6203.89</v>
      </c>
      <c r="AX40" s="14">
        <v>448.57</v>
      </c>
      <c r="AY40" s="13">
        <v>4241.05</v>
      </c>
      <c r="AZ40" s="14">
        <v>594.05999999999995</v>
      </c>
      <c r="BA40" s="13">
        <v>2380.9</v>
      </c>
      <c r="BB40" s="14">
        <v>332.39</v>
      </c>
      <c r="BC40" s="14">
        <v>153.74</v>
      </c>
      <c r="BD40" s="14">
        <v>67.95</v>
      </c>
      <c r="BE40" s="92">
        <v>12979.58</v>
      </c>
      <c r="BF40" s="122">
        <v>1442.97</v>
      </c>
      <c r="BG40" s="115">
        <v>14415.79</v>
      </c>
      <c r="BH40" s="164">
        <v>876.38</v>
      </c>
      <c r="BI40" s="149">
        <v>163695.81</v>
      </c>
      <c r="BJ40" s="183">
        <v>21099.3</v>
      </c>
    </row>
    <row r="41" spans="1:62" x14ac:dyDescent="0.25">
      <c r="A41" s="254"/>
      <c r="B41" s="257"/>
      <c r="C41" s="12">
        <v>10</v>
      </c>
      <c r="D41" s="238">
        <v>34</v>
      </c>
      <c r="E41" s="115">
        <v>24161.09</v>
      </c>
      <c r="F41" s="13">
        <v>5147.76</v>
      </c>
      <c r="G41" s="14">
        <v>17.34</v>
      </c>
      <c r="H41" s="14">
        <v>4.18</v>
      </c>
      <c r="I41" s="14">
        <v>44.16</v>
      </c>
      <c r="J41" s="14">
        <v>12.28</v>
      </c>
      <c r="K41" s="13">
        <v>1099.82</v>
      </c>
      <c r="L41" s="14">
        <v>265.42</v>
      </c>
      <c r="M41" s="13">
        <v>19283.8</v>
      </c>
      <c r="N41" s="13">
        <v>5205.3599999999997</v>
      </c>
      <c r="O41" s="92">
        <v>44606.2</v>
      </c>
      <c r="P41" s="122">
        <v>10635</v>
      </c>
      <c r="Q41" s="115">
        <v>7034.73</v>
      </c>
      <c r="R41" s="13">
        <v>1095.4000000000001</v>
      </c>
      <c r="S41" s="14">
        <v>36.880000000000003</v>
      </c>
      <c r="T41" s="14">
        <v>23.11</v>
      </c>
      <c r="U41" s="14">
        <v>187.52</v>
      </c>
      <c r="V41" s="14">
        <v>47.35</v>
      </c>
      <c r="W41" s="26"/>
      <c r="X41" s="26"/>
      <c r="Y41" s="92">
        <v>7259.12</v>
      </c>
      <c r="Z41" s="122">
        <v>1165.8499999999999</v>
      </c>
      <c r="AA41" s="115">
        <v>21370.55</v>
      </c>
      <c r="AB41" s="14">
        <v>645.29999999999995</v>
      </c>
      <c r="AC41" s="13">
        <v>8208.98</v>
      </c>
      <c r="AD41" s="13">
        <v>1004.61</v>
      </c>
      <c r="AE41" s="13">
        <v>3933.74</v>
      </c>
      <c r="AF41" s="14">
        <v>127.78</v>
      </c>
      <c r="AG41" s="14">
        <v>745.56</v>
      </c>
      <c r="AH41" s="14">
        <v>88.76</v>
      </c>
      <c r="AI41" s="92">
        <v>34258.82</v>
      </c>
      <c r="AJ41" s="122">
        <v>1866.46</v>
      </c>
      <c r="AK41" s="115">
        <v>45018.92</v>
      </c>
      <c r="AL41" s="13">
        <v>4699.8100000000004</v>
      </c>
      <c r="AM41" s="13">
        <v>6603.94</v>
      </c>
      <c r="AN41" s="14">
        <v>475.29</v>
      </c>
      <c r="AO41" s="13">
        <v>3625.34</v>
      </c>
      <c r="AP41" s="14">
        <v>407.48</v>
      </c>
      <c r="AQ41" s="14">
        <v>382.29</v>
      </c>
      <c r="AR41" s="14">
        <v>143.32</v>
      </c>
      <c r="AS41" s="13">
        <v>3596.19</v>
      </c>
      <c r="AT41" s="14">
        <v>330.73</v>
      </c>
      <c r="AU41" s="92">
        <v>59226.68</v>
      </c>
      <c r="AV41" s="122">
        <v>6056.64</v>
      </c>
      <c r="AW41" s="115">
        <v>6592.91</v>
      </c>
      <c r="AX41" s="14">
        <v>481.42</v>
      </c>
      <c r="AY41" s="13">
        <v>5329.57</v>
      </c>
      <c r="AZ41" s="14">
        <v>795.79</v>
      </c>
      <c r="BA41" s="13">
        <v>4220.49</v>
      </c>
      <c r="BB41" s="14">
        <v>494.07</v>
      </c>
      <c r="BC41" s="14">
        <v>218.39</v>
      </c>
      <c r="BD41" s="14">
        <v>85</v>
      </c>
      <c r="BE41" s="92">
        <v>16361.35</v>
      </c>
      <c r="BF41" s="122">
        <v>1856.29</v>
      </c>
      <c r="BG41" s="115">
        <v>15105.73</v>
      </c>
      <c r="BH41" s="164">
        <v>889.37</v>
      </c>
      <c r="BI41" s="149">
        <v>176817.91</v>
      </c>
      <c r="BJ41" s="183">
        <v>22469.599999999999</v>
      </c>
    </row>
    <row r="42" spans="1:62" x14ac:dyDescent="0.25">
      <c r="A42" s="254"/>
      <c r="B42" s="257"/>
      <c r="C42" s="12">
        <v>11</v>
      </c>
      <c r="D42" s="238">
        <v>35</v>
      </c>
      <c r="E42" s="115">
        <v>17472.79</v>
      </c>
      <c r="F42" s="13">
        <v>3741.09</v>
      </c>
      <c r="G42" s="14">
        <v>21.46</v>
      </c>
      <c r="H42" s="14">
        <v>4.1399999999999997</v>
      </c>
      <c r="I42" s="14">
        <v>56.15</v>
      </c>
      <c r="J42" s="14">
        <v>10.46</v>
      </c>
      <c r="K42" s="13">
        <v>1048.04</v>
      </c>
      <c r="L42" s="14">
        <v>228.52</v>
      </c>
      <c r="M42" s="13">
        <v>15524.18</v>
      </c>
      <c r="N42" s="13">
        <v>4129.22</v>
      </c>
      <c r="O42" s="92">
        <v>34122.61</v>
      </c>
      <c r="P42" s="122">
        <v>8113.44</v>
      </c>
      <c r="Q42" s="115">
        <v>5353.69</v>
      </c>
      <c r="R42" s="14">
        <v>869.92</v>
      </c>
      <c r="S42" s="14">
        <v>48.98</v>
      </c>
      <c r="T42" s="14">
        <v>30.28</v>
      </c>
      <c r="U42" s="14">
        <v>265.29000000000002</v>
      </c>
      <c r="V42" s="14">
        <v>53.63</v>
      </c>
      <c r="W42" s="26"/>
      <c r="X42" s="26"/>
      <c r="Y42" s="92">
        <v>5667.96</v>
      </c>
      <c r="Z42" s="136">
        <v>953.83</v>
      </c>
      <c r="AA42" s="115">
        <v>19519.3</v>
      </c>
      <c r="AB42" s="14">
        <v>638.08000000000004</v>
      </c>
      <c r="AC42" s="13">
        <v>8648.82</v>
      </c>
      <c r="AD42" s="13">
        <v>1174.18</v>
      </c>
      <c r="AE42" s="13">
        <v>6909.2</v>
      </c>
      <c r="AF42" s="14">
        <v>235.73</v>
      </c>
      <c r="AG42" s="14">
        <v>502.35</v>
      </c>
      <c r="AH42" s="14">
        <v>76.11</v>
      </c>
      <c r="AI42" s="92">
        <v>35579.67</v>
      </c>
      <c r="AJ42" s="122">
        <v>2124.1</v>
      </c>
      <c r="AK42" s="115">
        <v>48256.43</v>
      </c>
      <c r="AL42" s="13">
        <v>4702.88</v>
      </c>
      <c r="AM42" s="13">
        <v>6319.28</v>
      </c>
      <c r="AN42" s="14">
        <v>462.13</v>
      </c>
      <c r="AO42" s="13">
        <v>3311.85</v>
      </c>
      <c r="AP42" s="14">
        <v>353.63</v>
      </c>
      <c r="AQ42" s="14">
        <v>348.76</v>
      </c>
      <c r="AR42" s="14">
        <v>127.05</v>
      </c>
      <c r="AS42" s="13">
        <v>3055.39</v>
      </c>
      <c r="AT42" s="14">
        <v>273.2</v>
      </c>
      <c r="AU42" s="92">
        <v>61291.72</v>
      </c>
      <c r="AV42" s="122">
        <v>5918.88</v>
      </c>
      <c r="AW42" s="115">
        <v>6238.16</v>
      </c>
      <c r="AX42" s="14">
        <v>453.23</v>
      </c>
      <c r="AY42" s="13">
        <v>6069.92</v>
      </c>
      <c r="AZ42" s="14">
        <v>793.73</v>
      </c>
      <c r="BA42" s="13">
        <v>6807.4</v>
      </c>
      <c r="BB42" s="14">
        <v>645.66999999999996</v>
      </c>
      <c r="BC42" s="14">
        <v>158.1</v>
      </c>
      <c r="BD42" s="14">
        <v>64.81</v>
      </c>
      <c r="BE42" s="92">
        <v>19273.580000000002</v>
      </c>
      <c r="BF42" s="122">
        <v>1957.43</v>
      </c>
      <c r="BG42" s="115">
        <v>16961.27</v>
      </c>
      <c r="BH42" s="164">
        <v>914.91</v>
      </c>
      <c r="BI42" s="149">
        <v>172896.8</v>
      </c>
      <c r="BJ42" s="183">
        <v>19982.599999999999</v>
      </c>
    </row>
    <row r="43" spans="1:62" x14ac:dyDescent="0.25">
      <c r="A43" s="255"/>
      <c r="B43" s="258"/>
      <c r="C43" s="12">
        <v>12</v>
      </c>
      <c r="D43" s="238">
        <v>36</v>
      </c>
      <c r="E43" s="115">
        <v>17371.04</v>
      </c>
      <c r="F43" s="13">
        <v>3663.7</v>
      </c>
      <c r="G43" s="14">
        <v>33.36</v>
      </c>
      <c r="H43" s="14">
        <v>5.41</v>
      </c>
      <c r="I43" s="14">
        <v>137.19</v>
      </c>
      <c r="J43" s="14">
        <v>13.86</v>
      </c>
      <c r="K43" s="13">
        <v>1753.22</v>
      </c>
      <c r="L43" s="14">
        <v>366.66</v>
      </c>
      <c r="M43" s="13">
        <v>14158.95</v>
      </c>
      <c r="N43" s="13">
        <v>3723.11</v>
      </c>
      <c r="O43" s="92">
        <v>33453.75</v>
      </c>
      <c r="P43" s="122">
        <v>7772.73</v>
      </c>
      <c r="Q43" s="115">
        <v>6174.59</v>
      </c>
      <c r="R43" s="14">
        <v>944.34</v>
      </c>
      <c r="S43" s="14">
        <v>45.17</v>
      </c>
      <c r="T43" s="14">
        <v>25.58</v>
      </c>
      <c r="U43" s="14">
        <v>335.63</v>
      </c>
      <c r="V43" s="14">
        <v>62.03</v>
      </c>
      <c r="W43" s="26"/>
      <c r="X43" s="26"/>
      <c r="Y43" s="92">
        <v>6555.39</v>
      </c>
      <c r="Z43" s="122">
        <v>1031.95</v>
      </c>
      <c r="AA43" s="115">
        <v>23102.12</v>
      </c>
      <c r="AB43" s="14">
        <v>645.83000000000004</v>
      </c>
      <c r="AC43" s="13">
        <v>9441.02</v>
      </c>
      <c r="AD43" s="13">
        <v>1176.0999999999999</v>
      </c>
      <c r="AE43" s="13">
        <v>5050.45</v>
      </c>
      <c r="AF43" s="14">
        <v>173.52</v>
      </c>
      <c r="AG43" s="14">
        <v>620.61</v>
      </c>
      <c r="AH43" s="14">
        <v>87.46</v>
      </c>
      <c r="AI43" s="92">
        <v>38214.199999999997</v>
      </c>
      <c r="AJ43" s="122">
        <v>2082.91</v>
      </c>
      <c r="AK43" s="115">
        <v>47069.52</v>
      </c>
      <c r="AL43" s="13">
        <v>4494</v>
      </c>
      <c r="AM43" s="13">
        <v>6188.94</v>
      </c>
      <c r="AN43" s="14">
        <v>419.94</v>
      </c>
      <c r="AO43" s="13">
        <v>3034.69</v>
      </c>
      <c r="AP43" s="14">
        <v>317.33999999999997</v>
      </c>
      <c r="AQ43" s="14">
        <v>190.41</v>
      </c>
      <c r="AR43" s="14">
        <v>80.25</v>
      </c>
      <c r="AS43" s="13">
        <v>3572.19</v>
      </c>
      <c r="AT43" s="14">
        <v>328.33</v>
      </c>
      <c r="AU43" s="92">
        <v>60055.75</v>
      </c>
      <c r="AV43" s="122">
        <v>5639.86</v>
      </c>
      <c r="AW43" s="115">
        <v>6448.76</v>
      </c>
      <c r="AX43" s="14">
        <v>444.99</v>
      </c>
      <c r="AY43" s="13">
        <v>6185.9</v>
      </c>
      <c r="AZ43" s="14">
        <v>823.73</v>
      </c>
      <c r="BA43" s="13">
        <v>4608.3100000000004</v>
      </c>
      <c r="BB43" s="14">
        <v>495.58</v>
      </c>
      <c r="BC43" s="14">
        <v>154.61000000000001</v>
      </c>
      <c r="BD43" s="14">
        <v>63.35</v>
      </c>
      <c r="BE43" s="92">
        <v>17397.580000000002</v>
      </c>
      <c r="BF43" s="122">
        <v>1827.65</v>
      </c>
      <c r="BG43" s="115">
        <v>17389.97</v>
      </c>
      <c r="BH43" s="164">
        <v>920.07</v>
      </c>
      <c r="BI43" s="149">
        <v>173066.65</v>
      </c>
      <c r="BJ43" s="183">
        <v>19275.16</v>
      </c>
    </row>
    <row r="44" spans="1:62" x14ac:dyDescent="0.25">
      <c r="A44" s="287">
        <v>2553</v>
      </c>
      <c r="B44" s="290">
        <v>2010</v>
      </c>
      <c r="C44" s="18">
        <v>1</v>
      </c>
      <c r="D44" s="239">
        <v>37</v>
      </c>
      <c r="E44" s="61">
        <v>15594</v>
      </c>
      <c r="F44" s="19">
        <v>3211.83</v>
      </c>
      <c r="G44" s="20">
        <v>15.82</v>
      </c>
      <c r="H44" s="20">
        <v>5.97</v>
      </c>
      <c r="I44" s="20">
        <v>131.4</v>
      </c>
      <c r="J44" s="20">
        <v>11.39</v>
      </c>
      <c r="K44" s="19">
        <v>1048.74</v>
      </c>
      <c r="L44" s="20">
        <v>231.14</v>
      </c>
      <c r="M44" s="19">
        <v>11729.89</v>
      </c>
      <c r="N44" s="19">
        <v>3110.7</v>
      </c>
      <c r="O44" s="93">
        <v>28519.85</v>
      </c>
      <c r="P44" s="123">
        <v>6571.03</v>
      </c>
      <c r="Q44" s="61">
        <v>5140.7299999999996</v>
      </c>
      <c r="R44" s="20">
        <v>807.48</v>
      </c>
      <c r="S44" s="20">
        <v>21.67</v>
      </c>
      <c r="T44" s="20">
        <v>12.39</v>
      </c>
      <c r="U44" s="20">
        <v>162.37</v>
      </c>
      <c r="V44" s="20">
        <v>41.67</v>
      </c>
      <c r="W44" s="27"/>
      <c r="X44" s="27"/>
      <c r="Y44" s="93">
        <v>5324.77</v>
      </c>
      <c r="Z44" s="137">
        <v>861.54</v>
      </c>
      <c r="AA44" s="61">
        <v>22888.23</v>
      </c>
      <c r="AB44" s="20">
        <v>608.61</v>
      </c>
      <c r="AC44" s="19">
        <v>8225.9</v>
      </c>
      <c r="AD44" s="19">
        <v>1016.54</v>
      </c>
      <c r="AE44" s="19">
        <v>5051.45</v>
      </c>
      <c r="AF44" s="20">
        <v>157.68</v>
      </c>
      <c r="AG44" s="20">
        <v>742.69</v>
      </c>
      <c r="AH44" s="20">
        <v>90.54</v>
      </c>
      <c r="AI44" s="93">
        <v>36908.26</v>
      </c>
      <c r="AJ44" s="123">
        <v>1873.36</v>
      </c>
      <c r="AK44" s="61">
        <v>41391.19</v>
      </c>
      <c r="AL44" s="19">
        <v>4013.85</v>
      </c>
      <c r="AM44" s="19">
        <v>5403.95</v>
      </c>
      <c r="AN44" s="20">
        <v>377.59</v>
      </c>
      <c r="AO44" s="19">
        <v>3546.49</v>
      </c>
      <c r="AP44" s="20">
        <v>353.17</v>
      </c>
      <c r="AQ44" s="20">
        <v>326.42</v>
      </c>
      <c r="AR44" s="20">
        <v>128.01</v>
      </c>
      <c r="AS44" s="19">
        <v>3106.43</v>
      </c>
      <c r="AT44" s="20">
        <v>279.77999999999997</v>
      </c>
      <c r="AU44" s="93">
        <v>53774.47</v>
      </c>
      <c r="AV44" s="123">
        <v>5152.41</v>
      </c>
      <c r="AW44" s="61">
        <v>5966.15</v>
      </c>
      <c r="AX44" s="20">
        <v>428.43</v>
      </c>
      <c r="AY44" s="19">
        <v>5695.99</v>
      </c>
      <c r="AZ44" s="20">
        <v>731.42</v>
      </c>
      <c r="BA44" s="19">
        <v>3893.05</v>
      </c>
      <c r="BB44" s="20">
        <v>421.73</v>
      </c>
      <c r="BC44" s="20">
        <v>124.26</v>
      </c>
      <c r="BD44" s="20">
        <v>35.79</v>
      </c>
      <c r="BE44" s="93">
        <v>15679.44</v>
      </c>
      <c r="BF44" s="123">
        <v>1617.37</v>
      </c>
      <c r="BG44" s="61">
        <v>17193.64</v>
      </c>
      <c r="BH44" s="165">
        <v>876.61</v>
      </c>
      <c r="BI44" s="150">
        <v>157400.42000000001</v>
      </c>
      <c r="BJ44" s="184">
        <v>16952.330000000002</v>
      </c>
    </row>
    <row r="45" spans="1:62" x14ac:dyDescent="0.25">
      <c r="A45" s="288"/>
      <c r="B45" s="291"/>
      <c r="C45" s="18">
        <v>2</v>
      </c>
      <c r="D45" s="239">
        <v>38</v>
      </c>
      <c r="E45" s="61">
        <v>15653.91</v>
      </c>
      <c r="F45" s="19">
        <v>3192.92</v>
      </c>
      <c r="G45" s="20">
        <v>12.28</v>
      </c>
      <c r="H45" s="20">
        <v>1.88</v>
      </c>
      <c r="I45" s="20">
        <v>39.32</v>
      </c>
      <c r="J45" s="20">
        <v>4.88</v>
      </c>
      <c r="K45" s="19">
        <v>1253.76</v>
      </c>
      <c r="L45" s="20">
        <v>269.55</v>
      </c>
      <c r="M45" s="19">
        <v>10531.87</v>
      </c>
      <c r="N45" s="19">
        <v>2727.51</v>
      </c>
      <c r="O45" s="93">
        <v>27491.13</v>
      </c>
      <c r="P45" s="123">
        <v>6196.75</v>
      </c>
      <c r="Q45" s="61">
        <v>5786.28</v>
      </c>
      <c r="R45" s="20">
        <v>850.65</v>
      </c>
      <c r="S45" s="20">
        <v>6.98</v>
      </c>
      <c r="T45" s="20">
        <v>4.1399999999999997</v>
      </c>
      <c r="U45" s="20">
        <v>184.79</v>
      </c>
      <c r="V45" s="20">
        <v>43.2</v>
      </c>
      <c r="W45" s="27"/>
      <c r="X45" s="27"/>
      <c r="Y45" s="93">
        <v>5978.05</v>
      </c>
      <c r="Z45" s="137">
        <v>897.98</v>
      </c>
      <c r="AA45" s="61">
        <v>16522.79</v>
      </c>
      <c r="AB45" s="20">
        <v>475.29</v>
      </c>
      <c r="AC45" s="19">
        <v>7675.57</v>
      </c>
      <c r="AD45" s="19">
        <v>1032.7</v>
      </c>
      <c r="AE45" s="19">
        <v>4201.97</v>
      </c>
      <c r="AF45" s="20">
        <v>146.51</v>
      </c>
      <c r="AG45" s="20">
        <v>851.11</v>
      </c>
      <c r="AH45" s="20">
        <v>89.28</v>
      </c>
      <c r="AI45" s="93">
        <v>29251.43</v>
      </c>
      <c r="AJ45" s="123">
        <v>1743.78</v>
      </c>
      <c r="AK45" s="61">
        <v>43658</v>
      </c>
      <c r="AL45" s="19">
        <v>4160.2299999999996</v>
      </c>
      <c r="AM45" s="19">
        <v>6405.35</v>
      </c>
      <c r="AN45" s="20">
        <v>428.13</v>
      </c>
      <c r="AO45" s="19">
        <v>3853.23</v>
      </c>
      <c r="AP45" s="20">
        <v>338.66</v>
      </c>
      <c r="AQ45" s="20">
        <v>266.12</v>
      </c>
      <c r="AR45" s="20">
        <v>102.7</v>
      </c>
      <c r="AS45" s="19">
        <v>2988.94</v>
      </c>
      <c r="AT45" s="20">
        <v>272.17</v>
      </c>
      <c r="AU45" s="93">
        <v>57171.63</v>
      </c>
      <c r="AV45" s="123">
        <v>5301.9</v>
      </c>
      <c r="AW45" s="61">
        <v>5935.52</v>
      </c>
      <c r="AX45" s="20">
        <v>449.96</v>
      </c>
      <c r="AY45" s="19">
        <v>5107.59</v>
      </c>
      <c r="AZ45" s="20">
        <v>642.64</v>
      </c>
      <c r="BA45" s="19">
        <v>2430.29</v>
      </c>
      <c r="BB45" s="20">
        <v>275.82</v>
      </c>
      <c r="BC45" s="20">
        <v>90.55</v>
      </c>
      <c r="BD45" s="20">
        <v>33.729999999999997</v>
      </c>
      <c r="BE45" s="93">
        <v>13563.94</v>
      </c>
      <c r="BF45" s="123">
        <v>1402.15</v>
      </c>
      <c r="BG45" s="61">
        <v>19940.7</v>
      </c>
      <c r="BH45" s="166">
        <v>1073.5899999999999</v>
      </c>
      <c r="BI45" s="150">
        <v>153396.89000000001</v>
      </c>
      <c r="BJ45" s="184">
        <v>16616.150000000001</v>
      </c>
    </row>
    <row r="46" spans="1:62" x14ac:dyDescent="0.25">
      <c r="A46" s="288"/>
      <c r="B46" s="291"/>
      <c r="C46" s="18">
        <v>3</v>
      </c>
      <c r="D46" s="239">
        <v>39</v>
      </c>
      <c r="E46" s="61">
        <v>18256.169999999998</v>
      </c>
      <c r="F46" s="19">
        <v>3890.04</v>
      </c>
      <c r="G46" s="20">
        <v>7.88</v>
      </c>
      <c r="H46" s="20">
        <v>2.09</v>
      </c>
      <c r="I46" s="20">
        <v>87.92</v>
      </c>
      <c r="J46" s="20">
        <v>8.34</v>
      </c>
      <c r="K46" s="19">
        <v>1576</v>
      </c>
      <c r="L46" s="20">
        <v>304.27</v>
      </c>
      <c r="M46" s="19">
        <v>12487.05</v>
      </c>
      <c r="N46" s="19">
        <v>3196.66</v>
      </c>
      <c r="O46" s="93">
        <v>32415.01</v>
      </c>
      <c r="P46" s="123">
        <v>7401.39</v>
      </c>
      <c r="Q46" s="61">
        <v>6491.21</v>
      </c>
      <c r="R46" s="19">
        <v>1010</v>
      </c>
      <c r="S46" s="20">
        <v>35.24</v>
      </c>
      <c r="T46" s="20">
        <v>16.13</v>
      </c>
      <c r="U46" s="20">
        <v>438.13</v>
      </c>
      <c r="V46" s="20">
        <v>89.4</v>
      </c>
      <c r="W46" s="27"/>
      <c r="X46" s="27"/>
      <c r="Y46" s="93">
        <v>6964.59</v>
      </c>
      <c r="Z46" s="123">
        <v>1115.54</v>
      </c>
      <c r="AA46" s="61">
        <v>18481.36</v>
      </c>
      <c r="AB46" s="20">
        <v>500.7</v>
      </c>
      <c r="AC46" s="19">
        <v>8230.82</v>
      </c>
      <c r="AD46" s="19">
        <v>1064.07</v>
      </c>
      <c r="AE46" s="19">
        <v>4708.99</v>
      </c>
      <c r="AF46" s="20">
        <v>170.48</v>
      </c>
      <c r="AG46" s="20">
        <v>689.1</v>
      </c>
      <c r="AH46" s="20">
        <v>90.61</v>
      </c>
      <c r="AI46" s="93">
        <v>32110.27</v>
      </c>
      <c r="AJ46" s="123">
        <v>1825.87</v>
      </c>
      <c r="AK46" s="61">
        <v>50030.29</v>
      </c>
      <c r="AL46" s="19">
        <v>4892.16</v>
      </c>
      <c r="AM46" s="19">
        <v>7988.09</v>
      </c>
      <c r="AN46" s="20">
        <v>545.30999999999995</v>
      </c>
      <c r="AO46" s="19">
        <v>5070.03</v>
      </c>
      <c r="AP46" s="20">
        <v>438.59</v>
      </c>
      <c r="AQ46" s="20">
        <v>314.39</v>
      </c>
      <c r="AR46" s="20">
        <v>129.93</v>
      </c>
      <c r="AS46" s="19">
        <v>3327.34</v>
      </c>
      <c r="AT46" s="20">
        <v>288.01</v>
      </c>
      <c r="AU46" s="93">
        <v>66730.14</v>
      </c>
      <c r="AV46" s="123">
        <v>6294.01</v>
      </c>
      <c r="AW46" s="61">
        <v>5961.27</v>
      </c>
      <c r="AX46" s="20">
        <v>459.94</v>
      </c>
      <c r="AY46" s="19">
        <v>6191.81</v>
      </c>
      <c r="AZ46" s="20">
        <v>757.34</v>
      </c>
      <c r="BA46" s="19">
        <v>4255.5200000000004</v>
      </c>
      <c r="BB46" s="20">
        <v>523.67999999999995</v>
      </c>
      <c r="BC46" s="20">
        <v>157.74</v>
      </c>
      <c r="BD46" s="20">
        <v>56.96</v>
      </c>
      <c r="BE46" s="93">
        <v>16566.349999999999</v>
      </c>
      <c r="BF46" s="123">
        <v>1797.92</v>
      </c>
      <c r="BG46" s="61">
        <v>30003.38</v>
      </c>
      <c r="BH46" s="166">
        <v>1520.44</v>
      </c>
      <c r="BI46" s="150">
        <v>184789.74</v>
      </c>
      <c r="BJ46" s="184">
        <v>19955.169999999998</v>
      </c>
    </row>
    <row r="47" spans="1:62" x14ac:dyDescent="0.25">
      <c r="A47" s="288"/>
      <c r="B47" s="291"/>
      <c r="C47" s="18">
        <v>4</v>
      </c>
      <c r="D47" s="239">
        <v>40</v>
      </c>
      <c r="E47" s="61">
        <v>15120.6</v>
      </c>
      <c r="F47" s="19">
        <v>3096.88</v>
      </c>
      <c r="G47" s="20">
        <v>26.24</v>
      </c>
      <c r="H47" s="20">
        <v>6.71</v>
      </c>
      <c r="I47" s="20">
        <v>27.38</v>
      </c>
      <c r="J47" s="20">
        <v>6.47</v>
      </c>
      <c r="K47" s="20">
        <v>624.22</v>
      </c>
      <c r="L47" s="20">
        <v>148.97</v>
      </c>
      <c r="M47" s="19">
        <v>9571.25</v>
      </c>
      <c r="N47" s="19">
        <v>2430.64</v>
      </c>
      <c r="O47" s="93">
        <v>25369.68</v>
      </c>
      <c r="P47" s="123">
        <v>5689.67</v>
      </c>
      <c r="Q47" s="61">
        <v>6425.77</v>
      </c>
      <c r="R47" s="19">
        <v>1046.52</v>
      </c>
      <c r="S47" s="20">
        <v>33.64</v>
      </c>
      <c r="T47" s="20">
        <v>22.24</v>
      </c>
      <c r="U47" s="20">
        <v>409.69</v>
      </c>
      <c r="V47" s="20">
        <v>165.69</v>
      </c>
      <c r="W47" s="27"/>
      <c r="X47" s="27"/>
      <c r="Y47" s="93">
        <v>6869.1</v>
      </c>
      <c r="Z47" s="123">
        <v>1234.45</v>
      </c>
      <c r="AA47" s="61">
        <v>13486.65</v>
      </c>
      <c r="AB47" s="20">
        <v>374.9</v>
      </c>
      <c r="AC47" s="19">
        <v>7320.6</v>
      </c>
      <c r="AD47" s="20">
        <v>898.64</v>
      </c>
      <c r="AE47" s="19">
        <v>3718.35</v>
      </c>
      <c r="AF47" s="20">
        <v>145.88</v>
      </c>
      <c r="AG47" s="20">
        <v>500.17</v>
      </c>
      <c r="AH47" s="20">
        <v>60.57</v>
      </c>
      <c r="AI47" s="93">
        <v>25025.77</v>
      </c>
      <c r="AJ47" s="123">
        <v>1479.99</v>
      </c>
      <c r="AK47" s="61">
        <v>41366.89</v>
      </c>
      <c r="AL47" s="19">
        <v>3883.79</v>
      </c>
      <c r="AM47" s="19">
        <v>4539.54</v>
      </c>
      <c r="AN47" s="20">
        <v>309.87</v>
      </c>
      <c r="AO47" s="19">
        <v>4119.5</v>
      </c>
      <c r="AP47" s="20">
        <v>362.29</v>
      </c>
      <c r="AQ47" s="20">
        <v>221.59</v>
      </c>
      <c r="AR47" s="20">
        <v>83.53</v>
      </c>
      <c r="AS47" s="19">
        <v>2314.81</v>
      </c>
      <c r="AT47" s="20">
        <v>209.73</v>
      </c>
      <c r="AU47" s="93">
        <v>52562.33</v>
      </c>
      <c r="AV47" s="123">
        <v>4849.21</v>
      </c>
      <c r="AW47" s="61">
        <v>4881.71</v>
      </c>
      <c r="AX47" s="20">
        <v>348.13</v>
      </c>
      <c r="AY47" s="19">
        <v>5040.92</v>
      </c>
      <c r="AZ47" s="20">
        <v>761.06</v>
      </c>
      <c r="BA47" s="19">
        <v>3406.02</v>
      </c>
      <c r="BB47" s="20">
        <v>365.07</v>
      </c>
      <c r="BC47" s="20">
        <v>89.04</v>
      </c>
      <c r="BD47" s="20">
        <v>27.11</v>
      </c>
      <c r="BE47" s="93">
        <v>13417.7</v>
      </c>
      <c r="BF47" s="123">
        <v>1501.36</v>
      </c>
      <c r="BG47" s="61">
        <v>24428.17</v>
      </c>
      <c r="BH47" s="166">
        <v>1243.6199999999999</v>
      </c>
      <c r="BI47" s="150">
        <v>147672.75</v>
      </c>
      <c r="BJ47" s="184">
        <v>15998.3</v>
      </c>
    </row>
    <row r="48" spans="1:62" x14ac:dyDescent="0.25">
      <c r="A48" s="288"/>
      <c r="B48" s="291"/>
      <c r="C48" s="18">
        <v>5</v>
      </c>
      <c r="D48" s="239">
        <v>41</v>
      </c>
      <c r="E48" s="61">
        <v>20146.95</v>
      </c>
      <c r="F48" s="19">
        <v>4003.44</v>
      </c>
      <c r="G48" s="20">
        <v>38.130000000000003</v>
      </c>
      <c r="H48" s="20">
        <v>7.93</v>
      </c>
      <c r="I48" s="20">
        <v>16.3</v>
      </c>
      <c r="J48" s="20">
        <v>7.83</v>
      </c>
      <c r="K48" s="20">
        <v>998.19</v>
      </c>
      <c r="L48" s="20">
        <v>232.84</v>
      </c>
      <c r="M48" s="19">
        <v>11074.04</v>
      </c>
      <c r="N48" s="19">
        <v>2827.3</v>
      </c>
      <c r="O48" s="93">
        <v>32273.599999999999</v>
      </c>
      <c r="P48" s="123">
        <v>7079.34</v>
      </c>
      <c r="Q48" s="61">
        <v>6840.46</v>
      </c>
      <c r="R48" s="19">
        <v>1001.68</v>
      </c>
      <c r="S48" s="20">
        <v>39.659999999999997</v>
      </c>
      <c r="T48" s="20">
        <v>24.6</v>
      </c>
      <c r="U48" s="20">
        <v>487.81</v>
      </c>
      <c r="V48" s="20">
        <v>88.57</v>
      </c>
      <c r="W48" s="27"/>
      <c r="X48" s="27"/>
      <c r="Y48" s="93">
        <v>7367.92</v>
      </c>
      <c r="Z48" s="123">
        <v>1114.8499999999999</v>
      </c>
      <c r="AA48" s="61">
        <v>18275.04</v>
      </c>
      <c r="AB48" s="20">
        <v>471.65</v>
      </c>
      <c r="AC48" s="19">
        <v>7730.84</v>
      </c>
      <c r="AD48" s="20">
        <v>987.79</v>
      </c>
      <c r="AE48" s="19">
        <v>4198.46</v>
      </c>
      <c r="AF48" s="20">
        <v>161.97</v>
      </c>
      <c r="AG48" s="20">
        <v>662.41</v>
      </c>
      <c r="AH48" s="20">
        <v>81.239999999999995</v>
      </c>
      <c r="AI48" s="93">
        <v>30866.75</v>
      </c>
      <c r="AJ48" s="123">
        <v>1702.65</v>
      </c>
      <c r="AK48" s="61">
        <v>44707.31</v>
      </c>
      <c r="AL48" s="19">
        <v>4352.1400000000003</v>
      </c>
      <c r="AM48" s="19">
        <v>4703.2</v>
      </c>
      <c r="AN48" s="20">
        <v>338.09</v>
      </c>
      <c r="AO48" s="19">
        <v>3689.28</v>
      </c>
      <c r="AP48" s="20">
        <v>341.75</v>
      </c>
      <c r="AQ48" s="20">
        <v>300.44</v>
      </c>
      <c r="AR48" s="20">
        <v>106.99</v>
      </c>
      <c r="AS48" s="19">
        <v>3108</v>
      </c>
      <c r="AT48" s="20">
        <v>280.25</v>
      </c>
      <c r="AU48" s="93">
        <v>56508.23</v>
      </c>
      <c r="AV48" s="123">
        <v>5419.22</v>
      </c>
      <c r="AW48" s="61">
        <v>6544.05</v>
      </c>
      <c r="AX48" s="20">
        <v>476.2</v>
      </c>
      <c r="AY48" s="19">
        <v>4822.91</v>
      </c>
      <c r="AZ48" s="20">
        <v>702.71</v>
      </c>
      <c r="BA48" s="19">
        <v>3872.38</v>
      </c>
      <c r="BB48" s="20">
        <v>417.54</v>
      </c>
      <c r="BC48" s="20">
        <v>144.47999999999999</v>
      </c>
      <c r="BD48" s="20">
        <v>51.65</v>
      </c>
      <c r="BE48" s="93">
        <v>15383.82</v>
      </c>
      <c r="BF48" s="123">
        <v>1648.09</v>
      </c>
      <c r="BG48" s="61">
        <v>32895.07</v>
      </c>
      <c r="BH48" s="166">
        <v>1659.49</v>
      </c>
      <c r="BI48" s="150">
        <v>175295.38</v>
      </c>
      <c r="BJ48" s="184">
        <v>18623.64</v>
      </c>
    </row>
    <row r="49" spans="1:62" x14ac:dyDescent="0.25">
      <c r="A49" s="288"/>
      <c r="B49" s="291"/>
      <c r="C49" s="18">
        <v>6</v>
      </c>
      <c r="D49" s="239">
        <v>42</v>
      </c>
      <c r="E49" s="61">
        <v>27311.94</v>
      </c>
      <c r="F49" s="19">
        <v>5612.36</v>
      </c>
      <c r="G49" s="20">
        <v>22.49</v>
      </c>
      <c r="H49" s="20">
        <v>5.21</v>
      </c>
      <c r="I49" s="20">
        <v>40.43</v>
      </c>
      <c r="J49" s="20">
        <v>5.73</v>
      </c>
      <c r="K49" s="19">
        <v>1260.93</v>
      </c>
      <c r="L49" s="20">
        <v>280.58999999999997</v>
      </c>
      <c r="M49" s="19">
        <v>13991.69</v>
      </c>
      <c r="N49" s="19">
        <v>3521.13</v>
      </c>
      <c r="O49" s="93">
        <v>42627.49</v>
      </c>
      <c r="P49" s="123">
        <v>9425.01</v>
      </c>
      <c r="Q49" s="61">
        <v>6558.7</v>
      </c>
      <c r="R49" s="19">
        <v>1000.12</v>
      </c>
      <c r="S49" s="20">
        <v>25.09</v>
      </c>
      <c r="T49" s="20">
        <v>17.350000000000001</v>
      </c>
      <c r="U49" s="20">
        <v>388.72</v>
      </c>
      <c r="V49" s="20">
        <v>81.64</v>
      </c>
      <c r="W49" s="27"/>
      <c r="X49" s="27"/>
      <c r="Y49" s="93">
        <v>6972.51</v>
      </c>
      <c r="Z49" s="123">
        <v>1099.1099999999999</v>
      </c>
      <c r="AA49" s="61">
        <v>20046.099999999999</v>
      </c>
      <c r="AB49" s="20">
        <v>618.36</v>
      </c>
      <c r="AC49" s="19">
        <v>9311.5</v>
      </c>
      <c r="AD49" s="19">
        <v>1192.8900000000001</v>
      </c>
      <c r="AE49" s="19">
        <v>4920.7</v>
      </c>
      <c r="AF49" s="20">
        <v>180.73</v>
      </c>
      <c r="AG49" s="20">
        <v>723.42</v>
      </c>
      <c r="AH49" s="20">
        <v>84.67</v>
      </c>
      <c r="AI49" s="93">
        <v>35001.71</v>
      </c>
      <c r="AJ49" s="123">
        <v>2076.65</v>
      </c>
      <c r="AK49" s="61">
        <v>54125.52</v>
      </c>
      <c r="AL49" s="19">
        <v>5553.88</v>
      </c>
      <c r="AM49" s="19">
        <v>5596.6</v>
      </c>
      <c r="AN49" s="20">
        <v>389.92</v>
      </c>
      <c r="AO49" s="19">
        <v>3487.43</v>
      </c>
      <c r="AP49" s="20">
        <v>331.7</v>
      </c>
      <c r="AQ49" s="20">
        <v>413.88</v>
      </c>
      <c r="AR49" s="20">
        <v>155.47999999999999</v>
      </c>
      <c r="AS49" s="19">
        <v>3676.27</v>
      </c>
      <c r="AT49" s="20">
        <v>327.39999999999998</v>
      </c>
      <c r="AU49" s="93">
        <v>67299.7</v>
      </c>
      <c r="AV49" s="123">
        <v>6758.38</v>
      </c>
      <c r="AW49" s="61">
        <v>6490.41</v>
      </c>
      <c r="AX49" s="20">
        <v>491.07</v>
      </c>
      <c r="AY49" s="19">
        <v>6205.96</v>
      </c>
      <c r="AZ49" s="20">
        <v>870.16</v>
      </c>
      <c r="BA49" s="19">
        <v>4246.8900000000003</v>
      </c>
      <c r="BB49" s="20">
        <v>519.87</v>
      </c>
      <c r="BC49" s="20">
        <v>136.63</v>
      </c>
      <c r="BD49" s="20">
        <v>60.8</v>
      </c>
      <c r="BE49" s="93">
        <v>17079.88</v>
      </c>
      <c r="BF49" s="123">
        <v>1941.9</v>
      </c>
      <c r="BG49" s="61">
        <v>30147.65</v>
      </c>
      <c r="BH49" s="166">
        <v>1489.16</v>
      </c>
      <c r="BI49" s="150">
        <v>199128.93</v>
      </c>
      <c r="BJ49" s="184">
        <v>22790.23</v>
      </c>
    </row>
    <row r="50" spans="1:62" x14ac:dyDescent="0.25">
      <c r="A50" s="288"/>
      <c r="B50" s="291"/>
      <c r="C50" s="18">
        <v>7</v>
      </c>
      <c r="D50" s="239">
        <v>43</v>
      </c>
      <c r="E50" s="61">
        <v>23005.89</v>
      </c>
      <c r="F50" s="19">
        <v>5229.13</v>
      </c>
      <c r="G50" s="20">
        <v>22.9</v>
      </c>
      <c r="H50" s="20">
        <v>5.34</v>
      </c>
      <c r="I50" s="20">
        <v>108.22</v>
      </c>
      <c r="J50" s="20">
        <v>7.85</v>
      </c>
      <c r="K50" s="19">
        <v>1058.4100000000001</v>
      </c>
      <c r="L50" s="20">
        <v>256.31</v>
      </c>
      <c r="M50" s="19">
        <v>13755.3</v>
      </c>
      <c r="N50" s="19">
        <v>3601.82</v>
      </c>
      <c r="O50" s="93">
        <v>37950.71</v>
      </c>
      <c r="P50" s="123">
        <v>9100.4599999999991</v>
      </c>
      <c r="Q50" s="61">
        <v>5188.95</v>
      </c>
      <c r="R50" s="20">
        <v>849.04</v>
      </c>
      <c r="S50" s="20">
        <v>24.65</v>
      </c>
      <c r="T50" s="20">
        <v>16.2</v>
      </c>
      <c r="U50" s="20">
        <v>399.88</v>
      </c>
      <c r="V50" s="20">
        <v>76.52</v>
      </c>
      <c r="W50" s="27"/>
      <c r="X50" s="27"/>
      <c r="Y50" s="93">
        <v>5613.48</v>
      </c>
      <c r="Z50" s="137">
        <v>941.75</v>
      </c>
      <c r="AA50" s="61">
        <v>18250.47</v>
      </c>
      <c r="AB50" s="20">
        <v>519.38</v>
      </c>
      <c r="AC50" s="19">
        <v>7729.84</v>
      </c>
      <c r="AD50" s="19">
        <v>1074.5999999999999</v>
      </c>
      <c r="AE50" s="19">
        <v>5731.26</v>
      </c>
      <c r="AF50" s="20">
        <v>209.47</v>
      </c>
      <c r="AG50" s="20">
        <v>582.32000000000005</v>
      </c>
      <c r="AH50" s="20">
        <v>67.86</v>
      </c>
      <c r="AI50" s="93">
        <v>32293.88</v>
      </c>
      <c r="AJ50" s="123">
        <v>1871.31</v>
      </c>
      <c r="AK50" s="61">
        <v>44176.89</v>
      </c>
      <c r="AL50" s="19">
        <v>4778.71</v>
      </c>
      <c r="AM50" s="19">
        <v>5331.37</v>
      </c>
      <c r="AN50" s="20">
        <v>363.14</v>
      </c>
      <c r="AO50" s="19">
        <v>3441.86</v>
      </c>
      <c r="AP50" s="20">
        <v>358.99</v>
      </c>
      <c r="AQ50" s="20">
        <v>285.51</v>
      </c>
      <c r="AR50" s="20">
        <v>125.69</v>
      </c>
      <c r="AS50" s="19">
        <v>3513.68</v>
      </c>
      <c r="AT50" s="20">
        <v>330.21</v>
      </c>
      <c r="AU50" s="93">
        <v>56749.3</v>
      </c>
      <c r="AV50" s="123">
        <v>5956.74</v>
      </c>
      <c r="AW50" s="61">
        <v>5596.42</v>
      </c>
      <c r="AX50" s="20">
        <v>406.47</v>
      </c>
      <c r="AY50" s="19">
        <v>5043.8500000000004</v>
      </c>
      <c r="AZ50" s="20">
        <v>692.41</v>
      </c>
      <c r="BA50" s="19">
        <v>3747.46</v>
      </c>
      <c r="BB50" s="20">
        <v>462.45</v>
      </c>
      <c r="BC50" s="20">
        <v>165.28</v>
      </c>
      <c r="BD50" s="20">
        <v>55.25</v>
      </c>
      <c r="BE50" s="93">
        <v>14553.01</v>
      </c>
      <c r="BF50" s="123">
        <v>1616.58</v>
      </c>
      <c r="BG50" s="61">
        <v>25707.46</v>
      </c>
      <c r="BH50" s="166">
        <v>1363.94</v>
      </c>
      <c r="BI50" s="150">
        <v>172867.84</v>
      </c>
      <c r="BJ50" s="184">
        <v>20850.78</v>
      </c>
    </row>
    <row r="51" spans="1:62" x14ac:dyDescent="0.25">
      <c r="A51" s="288"/>
      <c r="B51" s="291"/>
      <c r="C51" s="18">
        <v>8</v>
      </c>
      <c r="D51" s="239">
        <v>44</v>
      </c>
      <c r="E51" s="61">
        <v>21975.68</v>
      </c>
      <c r="F51" s="19">
        <v>5147.8500000000004</v>
      </c>
      <c r="G51" s="20">
        <v>32.18</v>
      </c>
      <c r="H51" s="20">
        <v>8.6</v>
      </c>
      <c r="I51" s="20">
        <v>5.18</v>
      </c>
      <c r="J51" s="20">
        <v>2.94</v>
      </c>
      <c r="K51" s="20">
        <v>775.93</v>
      </c>
      <c r="L51" s="20">
        <v>207.08</v>
      </c>
      <c r="M51" s="19">
        <v>14378.58</v>
      </c>
      <c r="N51" s="19">
        <v>3902.39</v>
      </c>
      <c r="O51" s="93">
        <v>37167.550000000003</v>
      </c>
      <c r="P51" s="123">
        <v>9268.8700000000008</v>
      </c>
      <c r="Q51" s="61">
        <v>4129.66</v>
      </c>
      <c r="R51" s="20">
        <v>755.27</v>
      </c>
      <c r="S51" s="20">
        <v>12.54</v>
      </c>
      <c r="T51" s="20">
        <v>9.61</v>
      </c>
      <c r="U51" s="20">
        <v>325.67</v>
      </c>
      <c r="V51" s="20">
        <v>57.48</v>
      </c>
      <c r="W51" s="27"/>
      <c r="X51" s="27"/>
      <c r="Y51" s="93">
        <v>4467.87</v>
      </c>
      <c r="Z51" s="137">
        <v>822.37</v>
      </c>
      <c r="AA51" s="61">
        <v>18504.98</v>
      </c>
      <c r="AB51" s="20">
        <v>548.98</v>
      </c>
      <c r="AC51" s="19">
        <v>7412.44</v>
      </c>
      <c r="AD51" s="19">
        <v>1000.05</v>
      </c>
      <c r="AE51" s="19">
        <v>6183.72</v>
      </c>
      <c r="AF51" s="20">
        <v>210.35</v>
      </c>
      <c r="AG51" s="20">
        <v>627.80999999999995</v>
      </c>
      <c r="AH51" s="20">
        <v>77.83</v>
      </c>
      <c r="AI51" s="93">
        <v>32728.95</v>
      </c>
      <c r="AJ51" s="123">
        <v>1837.21</v>
      </c>
      <c r="AK51" s="61">
        <v>39665.68</v>
      </c>
      <c r="AL51" s="19">
        <v>4402.13</v>
      </c>
      <c r="AM51" s="19">
        <v>5563.05</v>
      </c>
      <c r="AN51" s="20">
        <v>363.72</v>
      </c>
      <c r="AO51" s="19">
        <v>2742.32</v>
      </c>
      <c r="AP51" s="20">
        <v>297.19</v>
      </c>
      <c r="AQ51" s="20">
        <v>344.13</v>
      </c>
      <c r="AR51" s="20">
        <v>151.63999999999999</v>
      </c>
      <c r="AS51" s="19">
        <v>2906.99</v>
      </c>
      <c r="AT51" s="20">
        <v>280.26</v>
      </c>
      <c r="AU51" s="93">
        <v>51222.16</v>
      </c>
      <c r="AV51" s="123">
        <v>5494.94</v>
      </c>
      <c r="AW51" s="61">
        <v>5861.26</v>
      </c>
      <c r="AX51" s="20">
        <v>460.21</v>
      </c>
      <c r="AY51" s="19">
        <v>4486.53</v>
      </c>
      <c r="AZ51" s="20">
        <v>619.41</v>
      </c>
      <c r="BA51" s="19">
        <v>3677.23</v>
      </c>
      <c r="BB51" s="20">
        <v>475.13</v>
      </c>
      <c r="BC51" s="20">
        <v>195.83</v>
      </c>
      <c r="BD51" s="20">
        <v>78.08</v>
      </c>
      <c r="BE51" s="93">
        <v>14220.86</v>
      </c>
      <c r="BF51" s="123">
        <v>1632.83</v>
      </c>
      <c r="BG51" s="61">
        <v>21809.599999999999</v>
      </c>
      <c r="BH51" s="166">
        <v>1119.6199999999999</v>
      </c>
      <c r="BI51" s="150">
        <v>161616.98000000001</v>
      </c>
      <c r="BJ51" s="184">
        <v>20175.84</v>
      </c>
    </row>
    <row r="52" spans="1:62" x14ac:dyDescent="0.25">
      <c r="A52" s="288"/>
      <c r="B52" s="291"/>
      <c r="C52" s="18">
        <v>9</v>
      </c>
      <c r="D52" s="239">
        <v>45</v>
      </c>
      <c r="E52" s="61">
        <v>23257.35</v>
      </c>
      <c r="F52" s="19">
        <v>5427.34</v>
      </c>
      <c r="G52" s="20">
        <v>14.43</v>
      </c>
      <c r="H52" s="20">
        <v>3.45</v>
      </c>
      <c r="I52" s="20">
        <v>6.19</v>
      </c>
      <c r="J52" s="20">
        <v>3.65</v>
      </c>
      <c r="K52" s="20">
        <v>994.07</v>
      </c>
      <c r="L52" s="20">
        <v>270.87</v>
      </c>
      <c r="M52" s="19">
        <v>17490.650000000001</v>
      </c>
      <c r="N52" s="19">
        <v>4702.22</v>
      </c>
      <c r="O52" s="93">
        <v>41762.67</v>
      </c>
      <c r="P52" s="123">
        <v>10407.540000000001</v>
      </c>
      <c r="Q52" s="61">
        <v>4870.8900000000003</v>
      </c>
      <c r="R52" s="20">
        <v>860.73</v>
      </c>
      <c r="S52" s="20">
        <v>34.909999999999997</v>
      </c>
      <c r="T52" s="20">
        <v>28.57</v>
      </c>
      <c r="U52" s="20">
        <v>426.17</v>
      </c>
      <c r="V52" s="20">
        <v>88.12</v>
      </c>
      <c r="W52" s="27"/>
      <c r="X52" s="27"/>
      <c r="Y52" s="93">
        <v>5331.96</v>
      </c>
      <c r="Z52" s="137">
        <v>977.41</v>
      </c>
      <c r="AA52" s="61">
        <v>17624.02</v>
      </c>
      <c r="AB52" s="20">
        <v>510.6</v>
      </c>
      <c r="AC52" s="19">
        <v>7760.32</v>
      </c>
      <c r="AD52" s="19">
        <v>1024.17</v>
      </c>
      <c r="AE52" s="19">
        <v>5313.01</v>
      </c>
      <c r="AF52" s="20">
        <v>185.44</v>
      </c>
      <c r="AG52" s="20">
        <v>707.37</v>
      </c>
      <c r="AH52" s="20">
        <v>89.07</v>
      </c>
      <c r="AI52" s="93">
        <v>31404.71</v>
      </c>
      <c r="AJ52" s="123">
        <v>1809.28</v>
      </c>
      <c r="AK52" s="61">
        <v>37027.71</v>
      </c>
      <c r="AL52" s="19">
        <v>4044.79</v>
      </c>
      <c r="AM52" s="19">
        <v>5484.71</v>
      </c>
      <c r="AN52" s="20">
        <v>374.2</v>
      </c>
      <c r="AO52" s="19">
        <v>3620.57</v>
      </c>
      <c r="AP52" s="20">
        <v>348.38</v>
      </c>
      <c r="AQ52" s="20">
        <v>396.17</v>
      </c>
      <c r="AR52" s="20">
        <v>178.84</v>
      </c>
      <c r="AS52" s="19">
        <v>2892.25</v>
      </c>
      <c r="AT52" s="20">
        <v>264.17</v>
      </c>
      <c r="AU52" s="93">
        <v>49421.41</v>
      </c>
      <c r="AV52" s="123">
        <v>5210.3900000000003</v>
      </c>
      <c r="AW52" s="61">
        <v>5045.2700000000004</v>
      </c>
      <c r="AX52" s="20">
        <v>388.8</v>
      </c>
      <c r="AY52" s="19">
        <v>5626.35</v>
      </c>
      <c r="AZ52" s="20">
        <v>742.37</v>
      </c>
      <c r="BA52" s="19">
        <v>4777.6499999999996</v>
      </c>
      <c r="BB52" s="20">
        <v>653.62</v>
      </c>
      <c r="BC52" s="20">
        <v>231.79</v>
      </c>
      <c r="BD52" s="20">
        <v>86.95</v>
      </c>
      <c r="BE52" s="93">
        <v>15681.05</v>
      </c>
      <c r="BF52" s="123">
        <v>1871.73</v>
      </c>
      <c r="BG52" s="61">
        <v>20529.66</v>
      </c>
      <c r="BH52" s="166">
        <v>1033.3599999999999</v>
      </c>
      <c r="BI52" s="150">
        <v>164131.47</v>
      </c>
      <c r="BJ52" s="184">
        <v>21309.7</v>
      </c>
    </row>
    <row r="53" spans="1:62" x14ac:dyDescent="0.25">
      <c r="A53" s="288"/>
      <c r="B53" s="291"/>
      <c r="C53" s="18">
        <v>10</v>
      </c>
      <c r="D53" s="239">
        <v>46</v>
      </c>
      <c r="E53" s="61">
        <v>23181.95</v>
      </c>
      <c r="F53" s="19">
        <v>5384.12</v>
      </c>
      <c r="G53" s="20">
        <v>55.11</v>
      </c>
      <c r="H53" s="20">
        <v>11.68</v>
      </c>
      <c r="I53" s="20">
        <v>58.5</v>
      </c>
      <c r="J53" s="20">
        <v>10.07</v>
      </c>
      <c r="K53" s="20">
        <v>768.37</v>
      </c>
      <c r="L53" s="20">
        <v>233.34</v>
      </c>
      <c r="M53" s="19">
        <v>18877.47</v>
      </c>
      <c r="N53" s="19">
        <v>5012.1400000000003</v>
      </c>
      <c r="O53" s="93">
        <v>42941.41</v>
      </c>
      <c r="P53" s="123">
        <v>10651.34</v>
      </c>
      <c r="Q53" s="61">
        <v>5730.68</v>
      </c>
      <c r="R53" s="19">
        <v>1021.43</v>
      </c>
      <c r="S53" s="20">
        <v>74.45</v>
      </c>
      <c r="T53" s="20">
        <v>64.650000000000006</v>
      </c>
      <c r="U53" s="20">
        <v>559.46</v>
      </c>
      <c r="V53" s="20">
        <v>102.84</v>
      </c>
      <c r="W53" s="27"/>
      <c r="X53" s="27"/>
      <c r="Y53" s="93">
        <v>6364.58</v>
      </c>
      <c r="Z53" s="123">
        <v>1188.9100000000001</v>
      </c>
      <c r="AA53" s="61">
        <v>18596.419999999998</v>
      </c>
      <c r="AB53" s="20">
        <v>627.1</v>
      </c>
      <c r="AC53" s="19">
        <v>8837.18</v>
      </c>
      <c r="AD53" s="19">
        <v>1106.6099999999999</v>
      </c>
      <c r="AE53" s="19">
        <v>5128.78</v>
      </c>
      <c r="AF53" s="20">
        <v>173.37</v>
      </c>
      <c r="AG53" s="19">
        <v>3021.6</v>
      </c>
      <c r="AH53" s="20">
        <v>89.44</v>
      </c>
      <c r="AI53" s="93">
        <v>35583.980000000003</v>
      </c>
      <c r="AJ53" s="123">
        <v>1996.52</v>
      </c>
      <c r="AK53" s="61">
        <v>38725.160000000003</v>
      </c>
      <c r="AL53" s="19">
        <v>3818.78</v>
      </c>
      <c r="AM53" s="19">
        <v>6466.3</v>
      </c>
      <c r="AN53" s="20">
        <v>388.36</v>
      </c>
      <c r="AO53" s="19">
        <v>3787.1</v>
      </c>
      <c r="AP53" s="20">
        <v>366.82</v>
      </c>
      <c r="AQ53" s="20">
        <v>403.17</v>
      </c>
      <c r="AR53" s="20">
        <v>192.96</v>
      </c>
      <c r="AS53" s="19">
        <v>3312.83</v>
      </c>
      <c r="AT53" s="20">
        <v>295.35000000000002</v>
      </c>
      <c r="AU53" s="93">
        <v>52694.559999999998</v>
      </c>
      <c r="AV53" s="123">
        <v>5062.2700000000004</v>
      </c>
      <c r="AW53" s="61">
        <v>6232.13</v>
      </c>
      <c r="AX53" s="20">
        <v>478.97</v>
      </c>
      <c r="AY53" s="19">
        <v>5288.98</v>
      </c>
      <c r="AZ53" s="20">
        <v>733.49</v>
      </c>
      <c r="BA53" s="19">
        <v>6269.34</v>
      </c>
      <c r="BB53" s="20">
        <v>730.01</v>
      </c>
      <c r="BC53" s="20">
        <v>198.4</v>
      </c>
      <c r="BD53" s="20">
        <v>67.150000000000006</v>
      </c>
      <c r="BE53" s="93">
        <v>17988.84</v>
      </c>
      <c r="BF53" s="123">
        <v>2009.61</v>
      </c>
      <c r="BG53" s="61">
        <v>18365.2</v>
      </c>
      <c r="BH53" s="166">
        <v>1013.57</v>
      </c>
      <c r="BI53" s="150">
        <v>173938.56</v>
      </c>
      <c r="BJ53" s="184">
        <v>21922.23</v>
      </c>
    </row>
    <row r="54" spans="1:62" x14ac:dyDescent="0.25">
      <c r="A54" s="288"/>
      <c r="B54" s="291"/>
      <c r="C54" s="18">
        <v>11</v>
      </c>
      <c r="D54" s="239">
        <v>47</v>
      </c>
      <c r="E54" s="61">
        <v>19659.04</v>
      </c>
      <c r="F54" s="19">
        <v>4511.74</v>
      </c>
      <c r="G54" s="20">
        <v>30.54</v>
      </c>
      <c r="H54" s="20">
        <v>6.96</v>
      </c>
      <c r="I54" s="20">
        <v>49.92</v>
      </c>
      <c r="J54" s="20">
        <v>12.7</v>
      </c>
      <c r="K54" s="20">
        <v>722.89</v>
      </c>
      <c r="L54" s="20">
        <v>226.19</v>
      </c>
      <c r="M54" s="19">
        <v>16037.43</v>
      </c>
      <c r="N54" s="19">
        <v>4225.2299999999996</v>
      </c>
      <c r="O54" s="93">
        <v>36499.82</v>
      </c>
      <c r="P54" s="123">
        <v>8982.82</v>
      </c>
      <c r="Q54" s="61">
        <v>5367.21</v>
      </c>
      <c r="R54" s="20">
        <v>914.6</v>
      </c>
      <c r="S54" s="20">
        <v>57.04</v>
      </c>
      <c r="T54" s="20">
        <v>51.76</v>
      </c>
      <c r="U54" s="20">
        <v>427.57</v>
      </c>
      <c r="V54" s="20">
        <v>73.3</v>
      </c>
      <c r="W54" s="27"/>
      <c r="X54" s="27"/>
      <c r="Y54" s="93">
        <v>5851.82</v>
      </c>
      <c r="Z54" s="123">
        <v>1039.6500000000001</v>
      </c>
      <c r="AA54" s="61">
        <v>21677.360000000001</v>
      </c>
      <c r="AB54" s="20">
        <v>710.83</v>
      </c>
      <c r="AC54" s="19">
        <v>8118.78</v>
      </c>
      <c r="AD54" s="19">
        <v>1064.57</v>
      </c>
      <c r="AE54" s="19">
        <v>7519.31</v>
      </c>
      <c r="AF54" s="20">
        <v>229.36</v>
      </c>
      <c r="AG54" s="20">
        <v>653.64</v>
      </c>
      <c r="AH54" s="20">
        <v>78.11</v>
      </c>
      <c r="AI54" s="93">
        <v>37969.08</v>
      </c>
      <c r="AJ54" s="123">
        <v>2082.86</v>
      </c>
      <c r="AK54" s="61">
        <v>52727.08</v>
      </c>
      <c r="AL54" s="19">
        <v>4866.7700000000004</v>
      </c>
      <c r="AM54" s="19">
        <v>6243.9</v>
      </c>
      <c r="AN54" s="20">
        <v>391.63</v>
      </c>
      <c r="AO54" s="19">
        <v>3800.48</v>
      </c>
      <c r="AP54" s="20">
        <v>380.62</v>
      </c>
      <c r="AQ54" s="20">
        <v>330.56</v>
      </c>
      <c r="AR54" s="20">
        <v>138.69</v>
      </c>
      <c r="AS54" s="19">
        <v>2776.47</v>
      </c>
      <c r="AT54" s="20">
        <v>242.26</v>
      </c>
      <c r="AU54" s="93">
        <v>65878.490000000005</v>
      </c>
      <c r="AV54" s="123">
        <v>6019.97</v>
      </c>
      <c r="AW54" s="61">
        <v>6218.06</v>
      </c>
      <c r="AX54" s="20">
        <v>470.02</v>
      </c>
      <c r="AY54" s="19">
        <v>5430.86</v>
      </c>
      <c r="AZ54" s="20">
        <v>774.76</v>
      </c>
      <c r="BA54" s="19">
        <v>6907.23</v>
      </c>
      <c r="BB54" s="20">
        <v>784.57</v>
      </c>
      <c r="BC54" s="20">
        <v>224.1</v>
      </c>
      <c r="BD54" s="20">
        <v>57.29</v>
      </c>
      <c r="BE54" s="93">
        <v>18780.240000000002</v>
      </c>
      <c r="BF54" s="123">
        <v>2086.64</v>
      </c>
      <c r="BG54" s="61">
        <v>20662.5</v>
      </c>
      <c r="BH54" s="165">
        <v>979.25</v>
      </c>
      <c r="BI54" s="150">
        <v>185641.94</v>
      </c>
      <c r="BJ54" s="184">
        <v>21191.200000000001</v>
      </c>
    </row>
    <row r="55" spans="1:62" x14ac:dyDescent="0.25">
      <c r="A55" s="289"/>
      <c r="B55" s="292"/>
      <c r="C55" s="18">
        <v>12</v>
      </c>
      <c r="D55" s="239">
        <v>48</v>
      </c>
      <c r="E55" s="61">
        <v>18565.439999999999</v>
      </c>
      <c r="F55" s="19">
        <v>4369.53</v>
      </c>
      <c r="G55" s="20">
        <v>37.119999999999997</v>
      </c>
      <c r="H55" s="20">
        <v>8.25</v>
      </c>
      <c r="I55" s="20">
        <v>70.38</v>
      </c>
      <c r="J55" s="20">
        <v>17.13</v>
      </c>
      <c r="K55" s="20">
        <v>581.03</v>
      </c>
      <c r="L55" s="20">
        <v>156.49</v>
      </c>
      <c r="M55" s="19">
        <v>15672.92</v>
      </c>
      <c r="N55" s="19">
        <v>4211.4399999999996</v>
      </c>
      <c r="O55" s="93">
        <v>34926.89</v>
      </c>
      <c r="P55" s="123">
        <v>8762.85</v>
      </c>
      <c r="Q55" s="61">
        <v>6079.64</v>
      </c>
      <c r="R55" s="20">
        <v>998.26</v>
      </c>
      <c r="S55" s="20">
        <v>32.06</v>
      </c>
      <c r="T55" s="20">
        <v>24.56</v>
      </c>
      <c r="U55" s="20">
        <v>419.28</v>
      </c>
      <c r="V55" s="20">
        <v>73.11</v>
      </c>
      <c r="W55" s="27"/>
      <c r="X55" s="27"/>
      <c r="Y55" s="93">
        <v>6530.98</v>
      </c>
      <c r="Z55" s="123">
        <v>1095.94</v>
      </c>
      <c r="AA55" s="61">
        <v>24678.639999999999</v>
      </c>
      <c r="AB55" s="20">
        <v>789.6</v>
      </c>
      <c r="AC55" s="19">
        <v>8090.13</v>
      </c>
      <c r="AD55" s="19">
        <v>1063.79</v>
      </c>
      <c r="AE55" s="19">
        <v>6404.85</v>
      </c>
      <c r="AF55" s="20">
        <v>194.85</v>
      </c>
      <c r="AG55" s="20">
        <v>786.45</v>
      </c>
      <c r="AH55" s="20">
        <v>89.2</v>
      </c>
      <c r="AI55" s="93">
        <v>39960.07</v>
      </c>
      <c r="AJ55" s="123">
        <v>2137.44</v>
      </c>
      <c r="AK55" s="61">
        <v>47878.36</v>
      </c>
      <c r="AL55" s="19">
        <v>4405.18</v>
      </c>
      <c r="AM55" s="19">
        <v>5210.6899999999996</v>
      </c>
      <c r="AN55" s="20">
        <v>319.2</v>
      </c>
      <c r="AO55" s="19">
        <v>4183.03</v>
      </c>
      <c r="AP55" s="20">
        <v>396.34</v>
      </c>
      <c r="AQ55" s="20">
        <v>370.04</v>
      </c>
      <c r="AR55" s="20">
        <v>176.49</v>
      </c>
      <c r="AS55" s="19">
        <v>3108.07</v>
      </c>
      <c r="AT55" s="20">
        <v>279.20999999999998</v>
      </c>
      <c r="AU55" s="93">
        <v>60750.18</v>
      </c>
      <c r="AV55" s="123">
        <v>5576.42</v>
      </c>
      <c r="AW55" s="61">
        <v>5153.04</v>
      </c>
      <c r="AX55" s="20">
        <v>364.48</v>
      </c>
      <c r="AY55" s="19">
        <v>5771.35</v>
      </c>
      <c r="AZ55" s="20">
        <v>770.63</v>
      </c>
      <c r="BA55" s="19">
        <v>5763.88</v>
      </c>
      <c r="BB55" s="20">
        <v>627.20000000000005</v>
      </c>
      <c r="BC55" s="20">
        <v>215.75</v>
      </c>
      <c r="BD55" s="20">
        <v>61.95</v>
      </c>
      <c r="BE55" s="93">
        <v>16904.009999999998</v>
      </c>
      <c r="BF55" s="123">
        <v>1824.26</v>
      </c>
      <c r="BG55" s="61">
        <v>23400.71</v>
      </c>
      <c r="BH55" s="166">
        <v>1119.6600000000001</v>
      </c>
      <c r="BI55" s="150">
        <v>182472.84</v>
      </c>
      <c r="BJ55" s="184">
        <v>20516.57</v>
      </c>
    </row>
    <row r="56" spans="1:62" x14ac:dyDescent="0.25">
      <c r="A56" s="366">
        <v>2554</v>
      </c>
      <c r="B56" s="369">
        <v>2011</v>
      </c>
      <c r="C56" s="15">
        <v>1</v>
      </c>
      <c r="D56" s="240">
        <v>49</v>
      </c>
      <c r="E56" s="116">
        <v>13025.44</v>
      </c>
      <c r="F56" s="16">
        <v>3111.27</v>
      </c>
      <c r="G56" s="17">
        <v>7.31</v>
      </c>
      <c r="H56" s="17">
        <v>3.61</v>
      </c>
      <c r="I56" s="17">
        <v>18.38</v>
      </c>
      <c r="J56" s="17">
        <v>5.03</v>
      </c>
      <c r="K56" s="16">
        <v>360.47</v>
      </c>
      <c r="L56" s="17">
        <v>102.53</v>
      </c>
      <c r="M56" s="16">
        <v>11548.03</v>
      </c>
      <c r="N56" s="16">
        <v>3269.93</v>
      </c>
      <c r="O56" s="94">
        <v>24959.64</v>
      </c>
      <c r="P56" s="124">
        <v>6492.36</v>
      </c>
      <c r="Q56" s="116">
        <v>4160.96</v>
      </c>
      <c r="R56" s="17">
        <v>734.15</v>
      </c>
      <c r="S56" s="17">
        <v>20.6</v>
      </c>
      <c r="T56" s="17">
        <v>12.52</v>
      </c>
      <c r="U56" s="17">
        <v>408.95</v>
      </c>
      <c r="V56" s="17">
        <v>75.16</v>
      </c>
      <c r="W56" s="28"/>
      <c r="X56" s="28"/>
      <c r="Y56" s="94">
        <v>4590.51</v>
      </c>
      <c r="Z56" s="138">
        <v>821.83</v>
      </c>
      <c r="AA56" s="116">
        <v>21294.61</v>
      </c>
      <c r="AB56" s="17">
        <v>691.01</v>
      </c>
      <c r="AC56" s="16">
        <v>7133.02</v>
      </c>
      <c r="AD56" s="16">
        <v>889.4</v>
      </c>
      <c r="AE56" s="16">
        <v>6154.99</v>
      </c>
      <c r="AF56" s="17">
        <v>190.37</v>
      </c>
      <c r="AG56" s="17">
        <v>884.53</v>
      </c>
      <c r="AH56" s="17">
        <v>106.28</v>
      </c>
      <c r="AI56" s="94">
        <v>35467.17</v>
      </c>
      <c r="AJ56" s="124">
        <v>1877.05</v>
      </c>
      <c r="AK56" s="116">
        <v>45152.75</v>
      </c>
      <c r="AL56" s="16">
        <v>4278.2700000000004</v>
      </c>
      <c r="AM56" s="16">
        <v>5328.25</v>
      </c>
      <c r="AN56" s="17">
        <v>360.06</v>
      </c>
      <c r="AO56" s="16">
        <v>4350.9399999999996</v>
      </c>
      <c r="AP56" s="17">
        <v>402.43</v>
      </c>
      <c r="AQ56" s="17">
        <v>235.09</v>
      </c>
      <c r="AR56" s="17">
        <v>136.76</v>
      </c>
      <c r="AS56" s="16">
        <v>2427.23</v>
      </c>
      <c r="AT56" s="17">
        <v>229.7</v>
      </c>
      <c r="AU56" s="94">
        <v>57494.239999999998</v>
      </c>
      <c r="AV56" s="124">
        <v>5407.22</v>
      </c>
      <c r="AW56" s="116">
        <v>4723.08</v>
      </c>
      <c r="AX56" s="17">
        <v>347.83</v>
      </c>
      <c r="AY56" s="16">
        <v>4684.04</v>
      </c>
      <c r="AZ56" s="17">
        <v>622.25</v>
      </c>
      <c r="BA56" s="16">
        <v>3006.74</v>
      </c>
      <c r="BB56" s="17">
        <v>331.23</v>
      </c>
      <c r="BC56" s="17">
        <v>97.77</v>
      </c>
      <c r="BD56" s="17">
        <v>22.29</v>
      </c>
      <c r="BE56" s="94">
        <v>12511.62</v>
      </c>
      <c r="BF56" s="124">
        <v>1323.61</v>
      </c>
      <c r="BG56" s="116">
        <v>21706.46</v>
      </c>
      <c r="BH56" s="167">
        <v>1031.95</v>
      </c>
      <c r="BI56" s="151">
        <v>156729.63</v>
      </c>
      <c r="BJ56" s="185">
        <v>16954.03</v>
      </c>
    </row>
    <row r="57" spans="1:62" x14ac:dyDescent="0.25">
      <c r="A57" s="367"/>
      <c r="B57" s="370"/>
      <c r="C57" s="15">
        <v>2</v>
      </c>
      <c r="D57" s="240">
        <v>50</v>
      </c>
      <c r="E57" s="116">
        <v>11871.28</v>
      </c>
      <c r="F57" s="16">
        <v>2895.14</v>
      </c>
      <c r="G57" s="17">
        <v>0.3</v>
      </c>
      <c r="H57" s="17">
        <v>0.08</v>
      </c>
      <c r="I57" s="17">
        <v>83.83</v>
      </c>
      <c r="J57" s="17">
        <v>16.100000000000001</v>
      </c>
      <c r="K57" s="16">
        <v>282.31</v>
      </c>
      <c r="L57" s="17">
        <v>87.3</v>
      </c>
      <c r="M57" s="16">
        <v>10730.41</v>
      </c>
      <c r="N57" s="16">
        <v>3089.07</v>
      </c>
      <c r="O57" s="94">
        <v>22968.12</v>
      </c>
      <c r="P57" s="124">
        <v>6087.69</v>
      </c>
      <c r="Q57" s="116">
        <v>4977.93</v>
      </c>
      <c r="R57" s="17">
        <v>879.38</v>
      </c>
      <c r="S57" s="17">
        <v>8.8000000000000007</v>
      </c>
      <c r="T57" s="17">
        <v>5.96</v>
      </c>
      <c r="U57" s="17">
        <v>301.3</v>
      </c>
      <c r="V57" s="17">
        <v>52.75</v>
      </c>
      <c r="W57" s="28"/>
      <c r="X57" s="28"/>
      <c r="Y57" s="94">
        <v>5288.03</v>
      </c>
      <c r="Z57" s="138">
        <v>938.09</v>
      </c>
      <c r="AA57" s="116">
        <v>18716.46</v>
      </c>
      <c r="AB57" s="17">
        <v>612.70000000000005</v>
      </c>
      <c r="AC57" s="16">
        <v>6899.37</v>
      </c>
      <c r="AD57" s="16">
        <v>957.16</v>
      </c>
      <c r="AE57" s="16">
        <v>6406.58</v>
      </c>
      <c r="AF57" s="17">
        <v>234.39</v>
      </c>
      <c r="AG57" s="17">
        <v>781.55</v>
      </c>
      <c r="AH57" s="17">
        <v>91.44</v>
      </c>
      <c r="AI57" s="94">
        <v>32803.97</v>
      </c>
      <c r="AJ57" s="124">
        <v>1895.68</v>
      </c>
      <c r="AK57" s="116">
        <v>45229.58</v>
      </c>
      <c r="AL57" s="16">
        <v>4633.42</v>
      </c>
      <c r="AM57" s="16">
        <v>5646.2</v>
      </c>
      <c r="AN57" s="17">
        <v>384.55</v>
      </c>
      <c r="AO57" s="16">
        <v>4485.54</v>
      </c>
      <c r="AP57" s="17">
        <v>416.2</v>
      </c>
      <c r="AQ57" s="17">
        <v>287.93</v>
      </c>
      <c r="AR57" s="17">
        <v>135.6</v>
      </c>
      <c r="AS57" s="16">
        <v>2466.77</v>
      </c>
      <c r="AT57" s="17">
        <v>223.73</v>
      </c>
      <c r="AU57" s="94">
        <v>58116.01</v>
      </c>
      <c r="AV57" s="124">
        <v>5793.5</v>
      </c>
      <c r="AW57" s="116">
        <v>5271.45</v>
      </c>
      <c r="AX57" s="17">
        <v>404.96</v>
      </c>
      <c r="AY57" s="16">
        <v>4784.7</v>
      </c>
      <c r="AZ57" s="17">
        <v>642.97</v>
      </c>
      <c r="BA57" s="16">
        <v>3613.06</v>
      </c>
      <c r="BB57" s="17">
        <v>445.04</v>
      </c>
      <c r="BC57" s="17">
        <v>81.77</v>
      </c>
      <c r="BD57" s="17">
        <v>20.62</v>
      </c>
      <c r="BE57" s="94">
        <v>13750.98</v>
      </c>
      <c r="BF57" s="124">
        <v>1513.59</v>
      </c>
      <c r="BG57" s="116">
        <v>25278.93</v>
      </c>
      <c r="BH57" s="167">
        <v>1209.1600000000001</v>
      </c>
      <c r="BI57" s="151">
        <v>158206.04</v>
      </c>
      <c r="BJ57" s="185">
        <v>17437.72</v>
      </c>
    </row>
    <row r="58" spans="1:62" x14ac:dyDescent="0.25">
      <c r="A58" s="367"/>
      <c r="B58" s="370"/>
      <c r="C58" s="15">
        <v>3</v>
      </c>
      <c r="D58" s="240">
        <v>51</v>
      </c>
      <c r="E58" s="116">
        <v>16060.21</v>
      </c>
      <c r="F58" s="16">
        <v>3949.86</v>
      </c>
      <c r="G58" s="17">
        <v>26.91</v>
      </c>
      <c r="H58" s="17">
        <v>8.67</v>
      </c>
      <c r="I58" s="17">
        <v>75.489999999999995</v>
      </c>
      <c r="J58" s="17">
        <v>19.87</v>
      </c>
      <c r="K58" s="16">
        <v>503.03</v>
      </c>
      <c r="L58" s="17">
        <v>149.97</v>
      </c>
      <c r="M58" s="16">
        <v>13594.01</v>
      </c>
      <c r="N58" s="16">
        <v>3894.27</v>
      </c>
      <c r="O58" s="94">
        <v>30259.64</v>
      </c>
      <c r="P58" s="124">
        <v>8022.64</v>
      </c>
      <c r="Q58" s="116">
        <v>6441.19</v>
      </c>
      <c r="R58" s="16">
        <v>1446.11</v>
      </c>
      <c r="S58" s="17">
        <v>24.15</v>
      </c>
      <c r="T58" s="17">
        <v>16.809999999999999</v>
      </c>
      <c r="U58" s="17">
        <v>401.01</v>
      </c>
      <c r="V58" s="17">
        <v>77.959999999999994</v>
      </c>
      <c r="W58" s="28"/>
      <c r="X58" s="28"/>
      <c r="Y58" s="94">
        <v>6866.34</v>
      </c>
      <c r="Z58" s="124">
        <v>1540.88</v>
      </c>
      <c r="AA58" s="116">
        <v>18725.55</v>
      </c>
      <c r="AB58" s="17">
        <v>600.61</v>
      </c>
      <c r="AC58" s="16">
        <v>8543.16</v>
      </c>
      <c r="AD58" s="16">
        <v>1070.17</v>
      </c>
      <c r="AE58" s="16">
        <v>5087.12</v>
      </c>
      <c r="AF58" s="17">
        <v>228.31</v>
      </c>
      <c r="AG58" s="17">
        <v>805.45</v>
      </c>
      <c r="AH58" s="17">
        <v>99.79</v>
      </c>
      <c r="AI58" s="94">
        <v>33161.279999999999</v>
      </c>
      <c r="AJ58" s="124">
        <v>1998.88</v>
      </c>
      <c r="AK58" s="116">
        <v>49158.95</v>
      </c>
      <c r="AL58" s="16">
        <v>5314.61</v>
      </c>
      <c r="AM58" s="16">
        <v>5935.24</v>
      </c>
      <c r="AN58" s="17">
        <v>408.78</v>
      </c>
      <c r="AO58" s="16">
        <v>4437.16</v>
      </c>
      <c r="AP58" s="17">
        <v>464.8</v>
      </c>
      <c r="AQ58" s="17">
        <v>202.48</v>
      </c>
      <c r="AR58" s="17">
        <v>96.01</v>
      </c>
      <c r="AS58" s="16">
        <v>2986.6</v>
      </c>
      <c r="AT58" s="17">
        <v>275.31</v>
      </c>
      <c r="AU58" s="94">
        <v>62720.43</v>
      </c>
      <c r="AV58" s="124">
        <v>6559.5</v>
      </c>
      <c r="AW58" s="116">
        <v>5667.52</v>
      </c>
      <c r="AX58" s="17">
        <v>442.56</v>
      </c>
      <c r="AY58" s="16">
        <v>5824.33</v>
      </c>
      <c r="AZ58" s="17">
        <v>836.81</v>
      </c>
      <c r="BA58" s="16">
        <v>4374.43</v>
      </c>
      <c r="BB58" s="17">
        <v>594.72</v>
      </c>
      <c r="BC58" s="17">
        <v>118.53</v>
      </c>
      <c r="BD58" s="17">
        <v>30.26</v>
      </c>
      <c r="BE58" s="94">
        <v>15984.8</v>
      </c>
      <c r="BF58" s="124">
        <v>1904.34</v>
      </c>
      <c r="BG58" s="116">
        <v>30609.08</v>
      </c>
      <c r="BH58" s="167">
        <v>1506.72</v>
      </c>
      <c r="BI58" s="151">
        <v>179601.58</v>
      </c>
      <c r="BJ58" s="185">
        <v>21532.959999999999</v>
      </c>
    </row>
    <row r="59" spans="1:62" x14ac:dyDescent="0.25">
      <c r="A59" s="367"/>
      <c r="B59" s="370"/>
      <c r="C59" s="15">
        <v>4</v>
      </c>
      <c r="D59" s="240">
        <v>52</v>
      </c>
      <c r="E59" s="116">
        <v>13193.33</v>
      </c>
      <c r="F59" s="16">
        <v>3303.8</v>
      </c>
      <c r="G59" s="17">
        <v>13.87</v>
      </c>
      <c r="H59" s="17">
        <v>2.95</v>
      </c>
      <c r="I59" s="17">
        <v>33.68</v>
      </c>
      <c r="J59" s="17">
        <v>8.89</v>
      </c>
      <c r="K59" s="17">
        <v>352.24</v>
      </c>
      <c r="L59" s="17">
        <v>96.28</v>
      </c>
      <c r="M59" s="16">
        <v>10622.95</v>
      </c>
      <c r="N59" s="16">
        <v>3121.22</v>
      </c>
      <c r="O59" s="94">
        <v>24216.06</v>
      </c>
      <c r="P59" s="124">
        <v>6533.15</v>
      </c>
      <c r="Q59" s="116">
        <v>5063.9399999999996</v>
      </c>
      <c r="R59" s="16">
        <v>941.22</v>
      </c>
      <c r="S59" s="17">
        <v>21</v>
      </c>
      <c r="T59" s="17">
        <v>12.87</v>
      </c>
      <c r="U59" s="17">
        <v>387.31</v>
      </c>
      <c r="V59" s="17">
        <v>75.67</v>
      </c>
      <c r="W59" s="28"/>
      <c r="X59" s="28"/>
      <c r="Y59" s="94">
        <v>5472.24</v>
      </c>
      <c r="Z59" s="124">
        <v>1029.75</v>
      </c>
      <c r="AA59" s="116">
        <v>16639.8</v>
      </c>
      <c r="AB59" s="17">
        <v>548.05999999999995</v>
      </c>
      <c r="AC59" s="16">
        <v>7328.29</v>
      </c>
      <c r="AD59" s="17">
        <v>923.33</v>
      </c>
      <c r="AE59" s="16">
        <v>4342.79</v>
      </c>
      <c r="AF59" s="17">
        <v>172.84</v>
      </c>
      <c r="AG59" s="17">
        <v>903.21</v>
      </c>
      <c r="AH59" s="17">
        <v>91.85</v>
      </c>
      <c r="AI59" s="94">
        <v>29214.080000000002</v>
      </c>
      <c r="AJ59" s="124">
        <v>1736.08</v>
      </c>
      <c r="AK59" s="116">
        <v>42601.26</v>
      </c>
      <c r="AL59" s="16">
        <v>4758.57</v>
      </c>
      <c r="AM59" s="16">
        <v>4863.82</v>
      </c>
      <c r="AN59" s="17">
        <v>337.72</v>
      </c>
      <c r="AO59" s="16">
        <v>3541.47</v>
      </c>
      <c r="AP59" s="17">
        <v>383.64</v>
      </c>
      <c r="AQ59" s="17">
        <v>160.9</v>
      </c>
      <c r="AR59" s="17">
        <v>60.35</v>
      </c>
      <c r="AS59" s="16">
        <v>2854.3</v>
      </c>
      <c r="AT59" s="17">
        <v>248.94</v>
      </c>
      <c r="AU59" s="94">
        <v>54021.75</v>
      </c>
      <c r="AV59" s="124">
        <v>5789.23</v>
      </c>
      <c r="AW59" s="116">
        <v>4836.42</v>
      </c>
      <c r="AX59" s="17">
        <v>373.9</v>
      </c>
      <c r="AY59" s="16">
        <v>5224.42</v>
      </c>
      <c r="AZ59" s="17">
        <v>764.99</v>
      </c>
      <c r="BA59" s="16">
        <v>3325.45</v>
      </c>
      <c r="BB59" s="17">
        <v>477.24</v>
      </c>
      <c r="BC59" s="17">
        <v>69.16</v>
      </c>
      <c r="BD59" s="17">
        <v>14.16</v>
      </c>
      <c r="BE59" s="94">
        <v>13455.46</v>
      </c>
      <c r="BF59" s="124">
        <v>1630.29</v>
      </c>
      <c r="BG59" s="116">
        <v>21277.79</v>
      </c>
      <c r="BH59" s="167">
        <v>1095.55</v>
      </c>
      <c r="BI59" s="151">
        <v>147657.38</v>
      </c>
      <c r="BJ59" s="185">
        <v>17814.04</v>
      </c>
    </row>
    <row r="60" spans="1:62" x14ac:dyDescent="0.25">
      <c r="A60" s="367"/>
      <c r="B60" s="370"/>
      <c r="C60" s="15">
        <v>5</v>
      </c>
      <c r="D60" s="240">
        <v>53</v>
      </c>
      <c r="E60" s="116">
        <v>14982.26</v>
      </c>
      <c r="F60" s="16">
        <v>3863.57</v>
      </c>
      <c r="G60" s="17">
        <v>14.96</v>
      </c>
      <c r="H60" s="17">
        <v>2.11</v>
      </c>
      <c r="I60" s="17">
        <v>113.42</v>
      </c>
      <c r="J60" s="17">
        <v>24.98</v>
      </c>
      <c r="K60" s="17">
        <v>426.41</v>
      </c>
      <c r="L60" s="17">
        <v>125.73</v>
      </c>
      <c r="M60" s="16">
        <v>13769.27</v>
      </c>
      <c r="N60" s="16">
        <v>4088.68</v>
      </c>
      <c r="O60" s="94">
        <v>29306.32</v>
      </c>
      <c r="P60" s="124">
        <v>8105.08</v>
      </c>
      <c r="Q60" s="116">
        <v>6015.08</v>
      </c>
      <c r="R60" s="16">
        <v>1069.04</v>
      </c>
      <c r="S60" s="17">
        <v>32.880000000000003</v>
      </c>
      <c r="T60" s="17">
        <v>18.61</v>
      </c>
      <c r="U60" s="17">
        <v>380.24</v>
      </c>
      <c r="V60" s="17">
        <v>73.17</v>
      </c>
      <c r="W60" s="28"/>
      <c r="X60" s="28"/>
      <c r="Y60" s="94">
        <v>6428.21</v>
      </c>
      <c r="Z60" s="124">
        <v>1160.82</v>
      </c>
      <c r="AA60" s="116">
        <v>18178.939999999999</v>
      </c>
      <c r="AB60" s="17">
        <v>583.54999999999995</v>
      </c>
      <c r="AC60" s="16">
        <v>6994.19</v>
      </c>
      <c r="AD60" s="17">
        <v>912.81</v>
      </c>
      <c r="AE60" s="16">
        <v>7104.82</v>
      </c>
      <c r="AF60" s="17">
        <v>256.99</v>
      </c>
      <c r="AG60" s="17">
        <v>663.05</v>
      </c>
      <c r="AH60" s="17">
        <v>80.02</v>
      </c>
      <c r="AI60" s="94">
        <v>32941</v>
      </c>
      <c r="AJ60" s="124">
        <v>1833.37</v>
      </c>
      <c r="AK60" s="116">
        <v>47341.440000000002</v>
      </c>
      <c r="AL60" s="16">
        <v>5292.2</v>
      </c>
      <c r="AM60" s="16">
        <v>4735.46</v>
      </c>
      <c r="AN60" s="17">
        <v>315.33999999999997</v>
      </c>
      <c r="AO60" s="16">
        <v>4294.3900000000003</v>
      </c>
      <c r="AP60" s="17">
        <v>391.75</v>
      </c>
      <c r="AQ60" s="17">
        <v>129.28</v>
      </c>
      <c r="AR60" s="17">
        <v>44.61</v>
      </c>
      <c r="AS60" s="16">
        <v>2883.47</v>
      </c>
      <c r="AT60" s="17">
        <v>268.75</v>
      </c>
      <c r="AU60" s="94">
        <v>59384.03</v>
      </c>
      <c r="AV60" s="124">
        <v>6312.65</v>
      </c>
      <c r="AW60" s="116">
        <v>5611.95</v>
      </c>
      <c r="AX60" s="17">
        <v>429.07</v>
      </c>
      <c r="AY60" s="16">
        <v>5671.13</v>
      </c>
      <c r="AZ60" s="17">
        <v>861.42</v>
      </c>
      <c r="BA60" s="16">
        <v>3714.05</v>
      </c>
      <c r="BB60" s="17">
        <v>508.53</v>
      </c>
      <c r="BC60" s="17">
        <v>127.29</v>
      </c>
      <c r="BD60" s="17">
        <v>22.48</v>
      </c>
      <c r="BE60" s="94">
        <v>15124.43</v>
      </c>
      <c r="BF60" s="124">
        <v>1821.5</v>
      </c>
      <c r="BG60" s="116">
        <v>27848.29</v>
      </c>
      <c r="BH60" s="167">
        <v>1301.98</v>
      </c>
      <c r="BI60" s="151">
        <v>171032.28</v>
      </c>
      <c r="BJ60" s="185">
        <v>20535.39</v>
      </c>
    </row>
    <row r="61" spans="1:62" x14ac:dyDescent="0.25">
      <c r="A61" s="367"/>
      <c r="B61" s="370"/>
      <c r="C61" s="15">
        <v>6</v>
      </c>
      <c r="D61" s="240">
        <v>54</v>
      </c>
      <c r="E61" s="116">
        <v>17210.95</v>
      </c>
      <c r="F61" s="16">
        <v>4466.42</v>
      </c>
      <c r="G61" s="17">
        <v>24.7</v>
      </c>
      <c r="H61" s="17">
        <v>7.08</v>
      </c>
      <c r="I61" s="17">
        <v>143.38999999999999</v>
      </c>
      <c r="J61" s="17">
        <v>38.03</v>
      </c>
      <c r="K61" s="16">
        <v>555.42999999999995</v>
      </c>
      <c r="L61" s="17">
        <v>172.36</v>
      </c>
      <c r="M61" s="16">
        <v>15154.36</v>
      </c>
      <c r="N61" s="16">
        <v>4600.47</v>
      </c>
      <c r="O61" s="94">
        <v>33088.83</v>
      </c>
      <c r="P61" s="124">
        <v>9284.35</v>
      </c>
      <c r="Q61" s="116">
        <v>6740</v>
      </c>
      <c r="R61" s="16">
        <v>1248.6099999999999</v>
      </c>
      <c r="S61" s="17">
        <v>23.58</v>
      </c>
      <c r="T61" s="17">
        <v>13.92</v>
      </c>
      <c r="U61" s="17">
        <v>465.09</v>
      </c>
      <c r="V61" s="17">
        <v>98.6</v>
      </c>
      <c r="W61" s="28"/>
      <c r="X61" s="28"/>
      <c r="Y61" s="94">
        <v>7228.67</v>
      </c>
      <c r="Z61" s="124">
        <v>1361.13</v>
      </c>
      <c r="AA61" s="116">
        <v>17778.59</v>
      </c>
      <c r="AB61" s="17">
        <v>645.54999999999995</v>
      </c>
      <c r="AC61" s="16">
        <v>7810.12</v>
      </c>
      <c r="AD61" s="16">
        <v>1004.33</v>
      </c>
      <c r="AE61" s="16">
        <v>5248</v>
      </c>
      <c r="AF61" s="17">
        <v>211.51</v>
      </c>
      <c r="AG61" s="17">
        <v>595.20000000000005</v>
      </c>
      <c r="AH61" s="17">
        <v>81.36</v>
      </c>
      <c r="AI61" s="94">
        <v>31431.9</v>
      </c>
      <c r="AJ61" s="124">
        <v>1942.74</v>
      </c>
      <c r="AK61" s="116">
        <v>48360.36</v>
      </c>
      <c r="AL61" s="16">
        <v>5762.22</v>
      </c>
      <c r="AM61" s="16">
        <v>6215.85</v>
      </c>
      <c r="AN61" s="17">
        <v>409.64</v>
      </c>
      <c r="AO61" s="16">
        <v>4505.95</v>
      </c>
      <c r="AP61" s="17">
        <v>449.51</v>
      </c>
      <c r="AQ61" s="17">
        <v>261.77999999999997</v>
      </c>
      <c r="AR61" s="17">
        <v>110.48</v>
      </c>
      <c r="AS61" s="16">
        <v>3673.07</v>
      </c>
      <c r="AT61" s="17">
        <v>330.22</v>
      </c>
      <c r="AU61" s="94">
        <v>63017</v>
      </c>
      <c r="AV61" s="124">
        <v>7062.06</v>
      </c>
      <c r="AW61" s="116">
        <v>6857.62</v>
      </c>
      <c r="AX61" s="17">
        <v>503.65</v>
      </c>
      <c r="AY61" s="16">
        <v>5981.46</v>
      </c>
      <c r="AZ61" s="17">
        <v>937.38</v>
      </c>
      <c r="BA61" s="16">
        <v>4048.07</v>
      </c>
      <c r="BB61" s="17">
        <v>590.32000000000005</v>
      </c>
      <c r="BC61" s="17">
        <v>104.61</v>
      </c>
      <c r="BD61" s="17">
        <v>29.86</v>
      </c>
      <c r="BE61" s="94">
        <v>16991.759999999998</v>
      </c>
      <c r="BF61" s="124">
        <v>2061.21</v>
      </c>
      <c r="BG61" s="116">
        <v>27044.43</v>
      </c>
      <c r="BH61" s="167">
        <v>1299.5899999999999</v>
      </c>
      <c r="BI61" s="151">
        <v>178802.58</v>
      </c>
      <c r="BJ61" s="185">
        <v>23011.09</v>
      </c>
    </row>
    <row r="62" spans="1:62" x14ac:dyDescent="0.25">
      <c r="A62" s="367"/>
      <c r="B62" s="370"/>
      <c r="C62" s="15">
        <v>7</v>
      </c>
      <c r="D62" s="240">
        <v>55</v>
      </c>
      <c r="E62" s="116">
        <v>18989.439999999999</v>
      </c>
      <c r="F62" s="16">
        <v>5080.25</v>
      </c>
      <c r="G62" s="17">
        <v>11.32</v>
      </c>
      <c r="H62" s="17">
        <v>2.67</v>
      </c>
      <c r="I62" s="17">
        <v>133.53</v>
      </c>
      <c r="J62" s="17">
        <v>37.14</v>
      </c>
      <c r="K62" s="16">
        <v>491.2</v>
      </c>
      <c r="L62" s="17">
        <v>155.6</v>
      </c>
      <c r="M62" s="16">
        <v>16171.01</v>
      </c>
      <c r="N62" s="16">
        <v>5155.09</v>
      </c>
      <c r="O62" s="94">
        <v>35796.49</v>
      </c>
      <c r="P62" s="124">
        <v>10430.74</v>
      </c>
      <c r="Q62" s="116">
        <v>5256.87</v>
      </c>
      <c r="R62" s="16">
        <v>1032.94</v>
      </c>
      <c r="S62" s="17">
        <v>35.369999999999997</v>
      </c>
      <c r="T62" s="17">
        <v>23.23</v>
      </c>
      <c r="U62" s="17">
        <v>329.8</v>
      </c>
      <c r="V62" s="17">
        <v>74.66</v>
      </c>
      <c r="W62" s="28"/>
      <c r="X62" s="28"/>
      <c r="Y62" s="94">
        <v>5622.04</v>
      </c>
      <c r="Z62" s="124">
        <v>1130.83</v>
      </c>
      <c r="AA62" s="116">
        <v>15910.79</v>
      </c>
      <c r="AB62" s="17">
        <v>509.49</v>
      </c>
      <c r="AC62" s="16">
        <v>7602.13</v>
      </c>
      <c r="AD62" s="16">
        <v>1074.27</v>
      </c>
      <c r="AE62" s="16">
        <v>5729.91</v>
      </c>
      <c r="AF62" s="17">
        <v>243.84</v>
      </c>
      <c r="AG62" s="17">
        <v>666.71</v>
      </c>
      <c r="AH62" s="17">
        <v>86.21</v>
      </c>
      <c r="AI62" s="94">
        <v>29909.54</v>
      </c>
      <c r="AJ62" s="124">
        <v>1913.8</v>
      </c>
      <c r="AK62" s="116">
        <v>45729.45</v>
      </c>
      <c r="AL62" s="16">
        <v>5626.43</v>
      </c>
      <c r="AM62" s="16">
        <v>4633.79</v>
      </c>
      <c r="AN62" s="17">
        <v>305.5</v>
      </c>
      <c r="AO62" s="16">
        <v>5164.6499999999996</v>
      </c>
      <c r="AP62" s="17">
        <v>474.16</v>
      </c>
      <c r="AQ62" s="17">
        <v>281.37</v>
      </c>
      <c r="AR62" s="17">
        <v>138.77000000000001</v>
      </c>
      <c r="AS62" s="16">
        <v>2862.54</v>
      </c>
      <c r="AT62" s="17">
        <v>276.47000000000003</v>
      </c>
      <c r="AU62" s="94">
        <v>58671.8</v>
      </c>
      <c r="AV62" s="124">
        <v>6821.33</v>
      </c>
      <c r="AW62" s="116">
        <v>6000.01</v>
      </c>
      <c r="AX62" s="17">
        <v>465.2</v>
      </c>
      <c r="AY62" s="16">
        <v>6082.38</v>
      </c>
      <c r="AZ62" s="17">
        <v>877.91</v>
      </c>
      <c r="BA62" s="16">
        <v>2901.73</v>
      </c>
      <c r="BB62" s="17">
        <v>469.86</v>
      </c>
      <c r="BC62" s="17">
        <v>51.74</v>
      </c>
      <c r="BD62" s="17">
        <v>21.8</v>
      </c>
      <c r="BE62" s="94">
        <v>15035.86</v>
      </c>
      <c r="BF62" s="124">
        <v>1834.76</v>
      </c>
      <c r="BG62" s="116">
        <v>18438.54</v>
      </c>
      <c r="BH62" s="167">
        <v>1059.4100000000001</v>
      </c>
      <c r="BI62" s="151">
        <v>163474.26999999999</v>
      </c>
      <c r="BJ62" s="185">
        <v>23190.87</v>
      </c>
    </row>
    <row r="63" spans="1:62" x14ac:dyDescent="0.25">
      <c r="A63" s="367"/>
      <c r="B63" s="370"/>
      <c r="C63" s="15">
        <v>8</v>
      </c>
      <c r="D63" s="240">
        <v>56</v>
      </c>
      <c r="E63" s="116">
        <v>21144.42</v>
      </c>
      <c r="F63" s="16">
        <v>5771.9</v>
      </c>
      <c r="G63" s="17">
        <v>40.43</v>
      </c>
      <c r="H63" s="17">
        <v>9.3800000000000008</v>
      </c>
      <c r="I63" s="17">
        <v>182.68</v>
      </c>
      <c r="J63" s="17">
        <v>47.53</v>
      </c>
      <c r="K63" s="17">
        <v>774.59</v>
      </c>
      <c r="L63" s="17">
        <v>251.25</v>
      </c>
      <c r="M63" s="16">
        <v>17829.03</v>
      </c>
      <c r="N63" s="16">
        <v>5606.96</v>
      </c>
      <c r="O63" s="94">
        <v>39971.15</v>
      </c>
      <c r="P63" s="124">
        <v>11687.02</v>
      </c>
      <c r="Q63" s="116">
        <v>4791.3999999999996</v>
      </c>
      <c r="R63" s="17">
        <v>900.11</v>
      </c>
      <c r="S63" s="17">
        <v>26.72</v>
      </c>
      <c r="T63" s="17">
        <v>8.9600000000000009</v>
      </c>
      <c r="U63" s="17">
        <v>366.9</v>
      </c>
      <c r="V63" s="17">
        <v>63.34</v>
      </c>
      <c r="W63" s="28"/>
      <c r="X63" s="28"/>
      <c r="Y63" s="94">
        <v>5185.0200000000004</v>
      </c>
      <c r="Z63" s="138">
        <v>972.42</v>
      </c>
      <c r="AA63" s="116">
        <v>17037.37</v>
      </c>
      <c r="AB63" s="17">
        <v>561.86</v>
      </c>
      <c r="AC63" s="16">
        <v>7644.72</v>
      </c>
      <c r="AD63" s="16">
        <v>986.41</v>
      </c>
      <c r="AE63" s="16">
        <v>5446.33</v>
      </c>
      <c r="AF63" s="17">
        <v>252.23</v>
      </c>
      <c r="AG63" s="17">
        <v>732.57</v>
      </c>
      <c r="AH63" s="17">
        <v>82.44</v>
      </c>
      <c r="AI63" s="94">
        <v>30860.99</v>
      </c>
      <c r="AJ63" s="124">
        <v>1882.94</v>
      </c>
      <c r="AK63" s="116">
        <v>43254.45</v>
      </c>
      <c r="AL63" s="16">
        <v>5434.04</v>
      </c>
      <c r="AM63" s="16">
        <v>4822.3</v>
      </c>
      <c r="AN63" s="17">
        <v>335.56</v>
      </c>
      <c r="AO63" s="16">
        <v>4769.4399999999996</v>
      </c>
      <c r="AP63" s="17">
        <v>411.49</v>
      </c>
      <c r="AQ63" s="17">
        <v>309.38</v>
      </c>
      <c r="AR63" s="17">
        <v>151.91</v>
      </c>
      <c r="AS63" s="16">
        <v>2923.1</v>
      </c>
      <c r="AT63" s="17">
        <v>271.27</v>
      </c>
      <c r="AU63" s="94">
        <v>56078.67</v>
      </c>
      <c r="AV63" s="124">
        <v>6604.26</v>
      </c>
      <c r="AW63" s="116">
        <v>6393.79</v>
      </c>
      <c r="AX63" s="17">
        <v>505.42</v>
      </c>
      <c r="AY63" s="16">
        <v>5933.56</v>
      </c>
      <c r="AZ63" s="17">
        <v>831.43</v>
      </c>
      <c r="BA63" s="16">
        <v>4655.66</v>
      </c>
      <c r="BB63" s="17">
        <v>702.88</v>
      </c>
      <c r="BC63" s="17">
        <v>124.7</v>
      </c>
      <c r="BD63" s="17">
        <v>52.98</v>
      </c>
      <c r="BE63" s="94">
        <v>17107.71</v>
      </c>
      <c r="BF63" s="124">
        <v>2092.7199999999998</v>
      </c>
      <c r="BG63" s="116">
        <v>18285.47</v>
      </c>
      <c r="BH63" s="167">
        <v>971.91</v>
      </c>
      <c r="BI63" s="151">
        <v>167489.01</v>
      </c>
      <c r="BJ63" s="185">
        <v>24211.27</v>
      </c>
    </row>
    <row r="64" spans="1:62" x14ac:dyDescent="0.25">
      <c r="A64" s="367"/>
      <c r="B64" s="370"/>
      <c r="C64" s="15">
        <v>9</v>
      </c>
      <c r="D64" s="240">
        <v>57</v>
      </c>
      <c r="E64" s="116">
        <v>20231.27</v>
      </c>
      <c r="F64" s="16">
        <v>5205.42</v>
      </c>
      <c r="G64" s="17">
        <v>10.42</v>
      </c>
      <c r="H64" s="17">
        <v>3.09</v>
      </c>
      <c r="I64" s="17">
        <v>213.39</v>
      </c>
      <c r="J64" s="17">
        <v>54.71</v>
      </c>
      <c r="K64" s="17">
        <v>951.82</v>
      </c>
      <c r="L64" s="17">
        <v>309.23</v>
      </c>
      <c r="M64" s="16">
        <v>18944.38</v>
      </c>
      <c r="N64" s="16">
        <v>5879.84</v>
      </c>
      <c r="O64" s="94">
        <v>40351.269999999997</v>
      </c>
      <c r="P64" s="124">
        <v>11452.29</v>
      </c>
      <c r="Q64" s="116">
        <v>4784.2</v>
      </c>
      <c r="R64" s="17">
        <v>986.17</v>
      </c>
      <c r="S64" s="17">
        <v>35.520000000000003</v>
      </c>
      <c r="T64" s="17">
        <v>25.56</v>
      </c>
      <c r="U64" s="17">
        <v>306.44</v>
      </c>
      <c r="V64" s="17">
        <v>75.12</v>
      </c>
      <c r="W64" s="28"/>
      <c r="X64" s="28"/>
      <c r="Y64" s="94">
        <v>5126.1499999999996</v>
      </c>
      <c r="Z64" s="124">
        <v>1086.8399999999999</v>
      </c>
      <c r="AA64" s="116">
        <v>15806.27</v>
      </c>
      <c r="AB64" s="17">
        <v>484.71</v>
      </c>
      <c r="AC64" s="16">
        <v>8428.9</v>
      </c>
      <c r="AD64" s="16">
        <v>1083.73</v>
      </c>
      <c r="AE64" s="16">
        <v>4863.1000000000004</v>
      </c>
      <c r="AF64" s="17">
        <v>198.62</v>
      </c>
      <c r="AG64" s="17">
        <v>664.04</v>
      </c>
      <c r="AH64" s="17">
        <v>91.5</v>
      </c>
      <c r="AI64" s="94">
        <v>29762.3</v>
      </c>
      <c r="AJ64" s="124">
        <v>1858.57</v>
      </c>
      <c r="AK64" s="116">
        <v>42530.26</v>
      </c>
      <c r="AL64" s="16">
        <v>5185.32</v>
      </c>
      <c r="AM64" s="16">
        <v>6367.63</v>
      </c>
      <c r="AN64" s="17">
        <v>448.58</v>
      </c>
      <c r="AO64" s="16">
        <v>4802.54</v>
      </c>
      <c r="AP64" s="17">
        <v>408.2</v>
      </c>
      <c r="AQ64" s="17">
        <v>372.25</v>
      </c>
      <c r="AR64" s="17">
        <v>185.43</v>
      </c>
      <c r="AS64" s="16">
        <v>3480.3</v>
      </c>
      <c r="AT64" s="17">
        <v>311.79000000000002</v>
      </c>
      <c r="AU64" s="94">
        <v>57552.97</v>
      </c>
      <c r="AV64" s="124">
        <v>6539.32</v>
      </c>
      <c r="AW64" s="116">
        <v>6654.22</v>
      </c>
      <c r="AX64" s="17">
        <v>564.32000000000005</v>
      </c>
      <c r="AY64" s="16">
        <v>6585.17</v>
      </c>
      <c r="AZ64" s="17">
        <v>932.74</v>
      </c>
      <c r="BA64" s="16">
        <v>2699.85</v>
      </c>
      <c r="BB64" s="17">
        <v>453.33</v>
      </c>
      <c r="BC64" s="17">
        <v>116.17</v>
      </c>
      <c r="BD64" s="17">
        <v>57.8</v>
      </c>
      <c r="BE64" s="94">
        <v>16055.41</v>
      </c>
      <c r="BF64" s="124">
        <v>2008.2</v>
      </c>
      <c r="BG64" s="116">
        <v>18161.46</v>
      </c>
      <c r="BH64" s="167">
        <v>1051.02</v>
      </c>
      <c r="BI64" s="151">
        <v>167009.54999999999</v>
      </c>
      <c r="BJ64" s="185">
        <v>23996.240000000002</v>
      </c>
    </row>
    <row r="65" spans="1:62" x14ac:dyDescent="0.25">
      <c r="A65" s="367"/>
      <c r="B65" s="370"/>
      <c r="C65" s="15">
        <v>10</v>
      </c>
      <c r="D65" s="240">
        <v>58</v>
      </c>
      <c r="E65" s="116">
        <v>20032.93</v>
      </c>
      <c r="F65" s="16">
        <v>5221.83</v>
      </c>
      <c r="G65" s="17">
        <v>40.770000000000003</v>
      </c>
      <c r="H65" s="17">
        <v>12.87</v>
      </c>
      <c r="I65" s="17">
        <v>209.15</v>
      </c>
      <c r="J65" s="17">
        <v>59.96</v>
      </c>
      <c r="K65" s="17">
        <v>673.91</v>
      </c>
      <c r="L65" s="17">
        <v>222.82</v>
      </c>
      <c r="M65" s="16">
        <v>19063.349999999999</v>
      </c>
      <c r="N65" s="16">
        <v>6015.33</v>
      </c>
      <c r="O65" s="94">
        <v>40020.1</v>
      </c>
      <c r="P65" s="124">
        <v>11532.81</v>
      </c>
      <c r="Q65" s="116">
        <v>5242.5</v>
      </c>
      <c r="R65" s="16">
        <v>1061.48</v>
      </c>
      <c r="S65" s="17">
        <v>65.64</v>
      </c>
      <c r="T65" s="17">
        <v>51.22</v>
      </c>
      <c r="U65" s="17">
        <v>368.6</v>
      </c>
      <c r="V65" s="17">
        <v>78.900000000000006</v>
      </c>
      <c r="W65" s="28"/>
      <c r="X65" s="28"/>
      <c r="Y65" s="94">
        <v>5676.74</v>
      </c>
      <c r="Z65" s="124">
        <v>1191.5999999999999</v>
      </c>
      <c r="AA65" s="116">
        <v>16985.52</v>
      </c>
      <c r="AB65" s="17">
        <v>630.16</v>
      </c>
      <c r="AC65" s="16">
        <v>9388.1299999999992</v>
      </c>
      <c r="AD65" s="16">
        <v>1246.49</v>
      </c>
      <c r="AE65" s="16">
        <v>5515.7</v>
      </c>
      <c r="AF65" s="17">
        <v>212.93</v>
      </c>
      <c r="AG65" s="16">
        <v>628.28</v>
      </c>
      <c r="AH65" s="17">
        <v>87.95</v>
      </c>
      <c r="AI65" s="94">
        <v>32517.63</v>
      </c>
      <c r="AJ65" s="124">
        <v>2177.52</v>
      </c>
      <c r="AK65" s="116">
        <v>40334.53</v>
      </c>
      <c r="AL65" s="16">
        <v>5391.12</v>
      </c>
      <c r="AM65" s="16">
        <v>6345.83</v>
      </c>
      <c r="AN65" s="17">
        <v>442.35</v>
      </c>
      <c r="AO65" s="16">
        <v>3609.9</v>
      </c>
      <c r="AP65" s="17">
        <v>396.04</v>
      </c>
      <c r="AQ65" s="17">
        <v>323.74</v>
      </c>
      <c r="AR65" s="17">
        <v>188.56</v>
      </c>
      <c r="AS65" s="16">
        <v>3144.33</v>
      </c>
      <c r="AT65" s="17">
        <v>291.44</v>
      </c>
      <c r="AU65" s="94">
        <v>53758.33</v>
      </c>
      <c r="AV65" s="124">
        <v>6709.52</v>
      </c>
      <c r="AW65" s="116">
        <v>6655.17</v>
      </c>
      <c r="AX65" s="17">
        <v>603.85</v>
      </c>
      <c r="AY65" s="16">
        <v>5991.71</v>
      </c>
      <c r="AZ65" s="17">
        <v>827.95</v>
      </c>
      <c r="BA65" s="16">
        <v>2935.25</v>
      </c>
      <c r="BB65" s="17">
        <v>524.37</v>
      </c>
      <c r="BC65" s="17">
        <v>148.85</v>
      </c>
      <c r="BD65" s="17">
        <v>65.75</v>
      </c>
      <c r="BE65" s="94">
        <v>15730.97</v>
      </c>
      <c r="BF65" s="124">
        <v>2021.92</v>
      </c>
      <c r="BG65" s="116">
        <v>18748.64</v>
      </c>
      <c r="BH65" s="167">
        <v>1065.8599999999999</v>
      </c>
      <c r="BI65" s="151">
        <v>166452.41</v>
      </c>
      <c r="BJ65" s="185">
        <v>24699.24</v>
      </c>
    </row>
    <row r="66" spans="1:62" x14ac:dyDescent="0.25">
      <c r="A66" s="367"/>
      <c r="B66" s="370"/>
      <c r="C66" s="15">
        <v>11</v>
      </c>
      <c r="D66" s="240">
        <v>59</v>
      </c>
      <c r="E66" s="116">
        <v>18946.810000000001</v>
      </c>
      <c r="F66" s="16">
        <v>5048.75</v>
      </c>
      <c r="G66" s="17">
        <v>34.299999999999997</v>
      </c>
      <c r="H66" s="17">
        <v>11.57</v>
      </c>
      <c r="I66" s="17">
        <v>117.3</v>
      </c>
      <c r="J66" s="17">
        <v>34.020000000000003</v>
      </c>
      <c r="K66" s="17">
        <v>484.22</v>
      </c>
      <c r="L66" s="17">
        <v>160.85</v>
      </c>
      <c r="M66" s="16">
        <v>16635.259999999998</v>
      </c>
      <c r="N66" s="16">
        <v>5276.22</v>
      </c>
      <c r="O66" s="94">
        <v>36217.89</v>
      </c>
      <c r="P66" s="124">
        <v>10531.41</v>
      </c>
      <c r="Q66" s="116">
        <v>4347.2299999999996</v>
      </c>
      <c r="R66" s="16">
        <v>1004.8</v>
      </c>
      <c r="S66" s="17">
        <v>41.63</v>
      </c>
      <c r="T66" s="17">
        <v>34.340000000000003</v>
      </c>
      <c r="U66" s="17">
        <v>263.98</v>
      </c>
      <c r="V66" s="17">
        <v>62.26</v>
      </c>
      <c r="W66" s="28"/>
      <c r="X66" s="28"/>
      <c r="Y66" s="94">
        <v>4652.84</v>
      </c>
      <c r="Z66" s="124">
        <v>1101.4100000000001</v>
      </c>
      <c r="AA66" s="116">
        <v>16057.71</v>
      </c>
      <c r="AB66" s="17">
        <v>595.75</v>
      </c>
      <c r="AC66" s="16">
        <v>8688.3700000000008</v>
      </c>
      <c r="AD66" s="16">
        <v>1211.82</v>
      </c>
      <c r="AE66" s="16">
        <v>6777.86</v>
      </c>
      <c r="AF66" s="17">
        <v>264.39999999999998</v>
      </c>
      <c r="AG66" s="17">
        <v>728.79</v>
      </c>
      <c r="AH66" s="17">
        <v>93.38</v>
      </c>
      <c r="AI66" s="94">
        <v>32252.720000000001</v>
      </c>
      <c r="AJ66" s="124">
        <v>2165.36</v>
      </c>
      <c r="AK66" s="116">
        <v>41718.910000000003</v>
      </c>
      <c r="AL66" s="16">
        <v>5499</v>
      </c>
      <c r="AM66" s="16">
        <v>7163.75</v>
      </c>
      <c r="AN66" s="17">
        <v>520.05999999999995</v>
      </c>
      <c r="AO66" s="16">
        <v>2982.39</v>
      </c>
      <c r="AP66" s="17">
        <v>414.66</v>
      </c>
      <c r="AQ66" s="17">
        <v>266.95</v>
      </c>
      <c r="AR66" s="17">
        <v>159.66</v>
      </c>
      <c r="AS66" s="16">
        <v>3251.31</v>
      </c>
      <c r="AT66" s="17">
        <v>318.62</v>
      </c>
      <c r="AU66" s="94">
        <v>55383.3</v>
      </c>
      <c r="AV66" s="124">
        <v>6912</v>
      </c>
      <c r="AW66" s="116">
        <v>5761.11</v>
      </c>
      <c r="AX66" s="17">
        <v>516.49</v>
      </c>
      <c r="AY66" s="16">
        <v>6345.85</v>
      </c>
      <c r="AZ66" s="17">
        <v>875.62</v>
      </c>
      <c r="BA66" s="16">
        <v>3488.64</v>
      </c>
      <c r="BB66" s="17">
        <v>659.22</v>
      </c>
      <c r="BC66" s="17">
        <v>138.69</v>
      </c>
      <c r="BD66" s="17">
        <v>59.01</v>
      </c>
      <c r="BE66" s="94">
        <v>15734.29</v>
      </c>
      <c r="BF66" s="124">
        <v>2110.34</v>
      </c>
      <c r="BG66" s="116">
        <v>16819.12</v>
      </c>
      <c r="BH66" s="168">
        <v>971.14</v>
      </c>
      <c r="BI66" s="151">
        <v>161060.16</v>
      </c>
      <c r="BJ66" s="185">
        <v>23791.65</v>
      </c>
    </row>
    <row r="67" spans="1:62" x14ac:dyDescent="0.25">
      <c r="A67" s="368"/>
      <c r="B67" s="371"/>
      <c r="C67" s="15">
        <v>12</v>
      </c>
      <c r="D67" s="240">
        <v>60</v>
      </c>
      <c r="E67" s="116">
        <v>16067.84</v>
      </c>
      <c r="F67" s="16">
        <v>4395.75</v>
      </c>
      <c r="G67" s="17">
        <v>28.8</v>
      </c>
      <c r="H67" s="17">
        <v>8.02</v>
      </c>
      <c r="I67" s="17">
        <v>143.16</v>
      </c>
      <c r="J67" s="17">
        <v>37.99</v>
      </c>
      <c r="K67" s="17">
        <v>358.28</v>
      </c>
      <c r="L67" s="17">
        <v>114.58</v>
      </c>
      <c r="M67" s="16">
        <v>14701.11</v>
      </c>
      <c r="N67" s="16">
        <v>4626.6000000000004</v>
      </c>
      <c r="O67" s="94">
        <v>31299.19</v>
      </c>
      <c r="P67" s="124">
        <v>9182.9500000000007</v>
      </c>
      <c r="Q67" s="116">
        <v>4746.9799999999996</v>
      </c>
      <c r="R67" s="17">
        <v>982.45</v>
      </c>
      <c r="S67" s="17">
        <v>46.79</v>
      </c>
      <c r="T67" s="17">
        <v>20.55</v>
      </c>
      <c r="U67" s="17">
        <v>344.31</v>
      </c>
      <c r="V67" s="17">
        <v>82.36</v>
      </c>
      <c r="W67" s="28"/>
      <c r="X67" s="28"/>
      <c r="Y67" s="94">
        <v>5138.08</v>
      </c>
      <c r="Z67" s="124">
        <v>1085.3699999999999</v>
      </c>
      <c r="AA67" s="116">
        <v>17826.18</v>
      </c>
      <c r="AB67" s="17">
        <v>687.84</v>
      </c>
      <c r="AC67" s="16">
        <v>6975.31</v>
      </c>
      <c r="AD67" s="16">
        <v>1038.6500000000001</v>
      </c>
      <c r="AE67" s="16">
        <v>5601.18</v>
      </c>
      <c r="AF67" s="17">
        <v>239.26</v>
      </c>
      <c r="AG67" s="17">
        <v>823.73</v>
      </c>
      <c r="AH67" s="17">
        <v>105.75</v>
      </c>
      <c r="AI67" s="94">
        <v>31226.39</v>
      </c>
      <c r="AJ67" s="124">
        <v>2071.5</v>
      </c>
      <c r="AK67" s="116">
        <v>44078.57</v>
      </c>
      <c r="AL67" s="16">
        <v>6029.97</v>
      </c>
      <c r="AM67" s="16">
        <v>7662.14</v>
      </c>
      <c r="AN67" s="17">
        <v>572.16</v>
      </c>
      <c r="AO67" s="16">
        <v>4144.3</v>
      </c>
      <c r="AP67" s="17">
        <v>523.4</v>
      </c>
      <c r="AQ67" s="17">
        <v>332.56</v>
      </c>
      <c r="AR67" s="17">
        <v>191.84</v>
      </c>
      <c r="AS67" s="16">
        <v>3699.8</v>
      </c>
      <c r="AT67" s="17">
        <v>370.62</v>
      </c>
      <c r="AU67" s="94">
        <v>59917.37</v>
      </c>
      <c r="AV67" s="124">
        <v>7688</v>
      </c>
      <c r="AW67" s="116">
        <v>5055.6000000000004</v>
      </c>
      <c r="AX67" s="17">
        <v>444.38</v>
      </c>
      <c r="AY67" s="16">
        <v>6300</v>
      </c>
      <c r="AZ67" s="17">
        <v>852.25</v>
      </c>
      <c r="BA67" s="16">
        <v>2145.4</v>
      </c>
      <c r="BB67" s="17">
        <v>366.77</v>
      </c>
      <c r="BC67" s="17">
        <v>116.02</v>
      </c>
      <c r="BD67" s="17">
        <v>45.81</v>
      </c>
      <c r="BE67" s="94">
        <v>13617.02</v>
      </c>
      <c r="BF67" s="124">
        <v>1709.22</v>
      </c>
      <c r="BG67" s="116">
        <v>16252.46</v>
      </c>
      <c r="BH67" s="167">
        <v>952.27</v>
      </c>
      <c r="BI67" s="151">
        <v>157450.51999999999</v>
      </c>
      <c r="BJ67" s="185">
        <v>22689.31</v>
      </c>
    </row>
    <row r="68" spans="1:62" x14ac:dyDescent="0.25">
      <c r="A68" s="265">
        <v>2555</v>
      </c>
      <c r="B68" s="268">
        <v>2012</v>
      </c>
      <c r="C68" s="21">
        <v>1</v>
      </c>
      <c r="D68" s="241">
        <v>61</v>
      </c>
      <c r="E68" s="66">
        <v>11023.56</v>
      </c>
      <c r="F68" s="22">
        <v>3007</v>
      </c>
      <c r="G68" s="23">
        <v>38.69</v>
      </c>
      <c r="H68" s="23">
        <v>11.13</v>
      </c>
      <c r="I68" s="23">
        <v>7.0000000000000007E-2</v>
      </c>
      <c r="J68" s="23">
        <v>0.01</v>
      </c>
      <c r="K68" s="23">
        <v>89.27</v>
      </c>
      <c r="L68" s="23">
        <v>34.880000000000003</v>
      </c>
      <c r="M68" s="22">
        <v>9498.31</v>
      </c>
      <c r="N68" s="22">
        <v>2927.02</v>
      </c>
      <c r="O68" s="95">
        <v>20649.91</v>
      </c>
      <c r="P68" s="125">
        <v>5980.04</v>
      </c>
      <c r="Q68" s="66">
        <v>3741.24</v>
      </c>
      <c r="R68" s="23">
        <v>758.52</v>
      </c>
      <c r="S68" s="23">
        <v>7.68</v>
      </c>
      <c r="T68" s="23">
        <v>5.96</v>
      </c>
      <c r="U68" s="23">
        <v>242.79</v>
      </c>
      <c r="V68" s="24">
        <v>64.34</v>
      </c>
      <c r="W68" s="29">
        <v>0</v>
      </c>
      <c r="X68" s="29">
        <v>0</v>
      </c>
      <c r="Y68" s="95">
        <v>3991.7</v>
      </c>
      <c r="Z68" s="139">
        <v>828.81</v>
      </c>
      <c r="AA68" s="66">
        <v>14974.02</v>
      </c>
      <c r="AB68" s="23">
        <v>528.38</v>
      </c>
      <c r="AC68" s="22">
        <v>6884.02</v>
      </c>
      <c r="AD68" s="23">
        <v>996.86</v>
      </c>
      <c r="AE68" s="22">
        <v>6873.65</v>
      </c>
      <c r="AF68" s="23">
        <v>269.33999999999997</v>
      </c>
      <c r="AG68" s="23">
        <v>952.7</v>
      </c>
      <c r="AH68" s="23">
        <v>116.67</v>
      </c>
      <c r="AI68" s="95">
        <v>29684.39</v>
      </c>
      <c r="AJ68" s="125">
        <v>1911.25</v>
      </c>
      <c r="AK68" s="66">
        <v>36452.32</v>
      </c>
      <c r="AL68" s="22">
        <v>5239.72</v>
      </c>
      <c r="AM68" s="22">
        <v>7168.77</v>
      </c>
      <c r="AN68" s="23">
        <v>535.45000000000005</v>
      </c>
      <c r="AO68" s="22">
        <v>3476.63</v>
      </c>
      <c r="AP68" s="23">
        <v>445.99</v>
      </c>
      <c r="AQ68" s="23">
        <v>146.21</v>
      </c>
      <c r="AR68" s="23">
        <v>69.14</v>
      </c>
      <c r="AS68" s="22">
        <v>2506.25</v>
      </c>
      <c r="AT68" s="23">
        <v>237.25</v>
      </c>
      <c r="AU68" s="95">
        <v>49750.17</v>
      </c>
      <c r="AV68" s="125">
        <v>6527.55</v>
      </c>
      <c r="AW68" s="66">
        <v>4373.83</v>
      </c>
      <c r="AX68" s="23">
        <v>398.13</v>
      </c>
      <c r="AY68" s="22">
        <v>3301.1</v>
      </c>
      <c r="AZ68" s="23">
        <v>404.89</v>
      </c>
      <c r="BA68" s="22">
        <v>1123.19</v>
      </c>
      <c r="BB68" s="23">
        <v>181.31</v>
      </c>
      <c r="BC68" s="23">
        <v>56.34</v>
      </c>
      <c r="BD68" s="23">
        <v>10.97</v>
      </c>
      <c r="BE68" s="95">
        <v>8854.4500000000007</v>
      </c>
      <c r="BF68" s="139">
        <v>995.3</v>
      </c>
      <c r="BG68" s="66">
        <v>12389.36</v>
      </c>
      <c r="BH68" s="169">
        <v>834.7</v>
      </c>
      <c r="BI68" s="152">
        <v>125319.98</v>
      </c>
      <c r="BJ68" s="186">
        <v>17077.66</v>
      </c>
    </row>
    <row r="69" spans="1:62" x14ac:dyDescent="0.25">
      <c r="A69" s="266"/>
      <c r="B69" s="269"/>
      <c r="C69" s="21">
        <v>2</v>
      </c>
      <c r="D69" s="241">
        <v>62</v>
      </c>
      <c r="E69" s="66">
        <v>11746.81</v>
      </c>
      <c r="F69" s="22">
        <v>3184.46</v>
      </c>
      <c r="G69" s="23">
        <v>71.27</v>
      </c>
      <c r="H69" s="23">
        <v>25.3</v>
      </c>
      <c r="I69" s="23">
        <v>47.06</v>
      </c>
      <c r="J69" s="23">
        <v>10.06</v>
      </c>
      <c r="K69" s="23">
        <v>90.11</v>
      </c>
      <c r="L69" s="23">
        <v>35.5</v>
      </c>
      <c r="M69" s="22">
        <v>11693.12</v>
      </c>
      <c r="N69" s="22">
        <v>3684.2</v>
      </c>
      <c r="O69" s="95">
        <v>23648.38</v>
      </c>
      <c r="P69" s="125">
        <v>6939.53</v>
      </c>
      <c r="Q69" s="66">
        <v>5932.64</v>
      </c>
      <c r="R69" s="22">
        <v>1152.8800000000001</v>
      </c>
      <c r="S69" s="23">
        <v>15</v>
      </c>
      <c r="T69" s="23">
        <v>11.29</v>
      </c>
      <c r="U69" s="23">
        <v>312.16000000000003</v>
      </c>
      <c r="V69" s="24">
        <v>94.52</v>
      </c>
      <c r="W69" s="29">
        <v>0</v>
      </c>
      <c r="X69" s="29">
        <v>0</v>
      </c>
      <c r="Y69" s="95">
        <v>6259.8</v>
      </c>
      <c r="Z69" s="125">
        <v>1258.7</v>
      </c>
      <c r="AA69" s="66">
        <v>20123.36</v>
      </c>
      <c r="AB69" s="23">
        <v>764.91</v>
      </c>
      <c r="AC69" s="22">
        <v>8158.08</v>
      </c>
      <c r="AD69" s="22">
        <v>1140.24</v>
      </c>
      <c r="AE69" s="22">
        <v>5661.58</v>
      </c>
      <c r="AF69" s="23">
        <v>256.27</v>
      </c>
      <c r="AG69" s="23">
        <v>915.38</v>
      </c>
      <c r="AH69" s="23">
        <v>109.24</v>
      </c>
      <c r="AI69" s="95">
        <v>34858.400000000001</v>
      </c>
      <c r="AJ69" s="125">
        <v>2270.66</v>
      </c>
      <c r="AK69" s="66">
        <v>42251.12</v>
      </c>
      <c r="AL69" s="22">
        <v>6055.24</v>
      </c>
      <c r="AM69" s="22">
        <v>8418.7099999999991</v>
      </c>
      <c r="AN69" s="23">
        <v>708.43</v>
      </c>
      <c r="AO69" s="22">
        <v>4617.53</v>
      </c>
      <c r="AP69" s="23">
        <v>555</v>
      </c>
      <c r="AQ69" s="23">
        <v>193.76</v>
      </c>
      <c r="AR69" s="23">
        <v>93.44</v>
      </c>
      <c r="AS69" s="22">
        <v>3022.74</v>
      </c>
      <c r="AT69" s="23">
        <v>288.16000000000003</v>
      </c>
      <c r="AU69" s="95">
        <v>58503.86</v>
      </c>
      <c r="AV69" s="125">
        <v>7700.27</v>
      </c>
      <c r="AW69" s="66">
        <v>5386.85</v>
      </c>
      <c r="AX69" s="23">
        <v>509.67</v>
      </c>
      <c r="AY69" s="22">
        <v>3390.84</v>
      </c>
      <c r="AZ69" s="23">
        <v>437.02</v>
      </c>
      <c r="BA69" s="23">
        <v>914.67</v>
      </c>
      <c r="BB69" s="23">
        <v>133.91999999999999</v>
      </c>
      <c r="BC69" s="23">
        <v>83.42</v>
      </c>
      <c r="BD69" s="23">
        <v>20.93</v>
      </c>
      <c r="BE69" s="95">
        <v>9775.7800000000007</v>
      </c>
      <c r="BF69" s="125">
        <v>1101.53</v>
      </c>
      <c r="BG69" s="66">
        <v>15416.8</v>
      </c>
      <c r="BH69" s="170">
        <v>1034.68</v>
      </c>
      <c r="BI69" s="152">
        <v>148463.01999999999</v>
      </c>
      <c r="BJ69" s="186">
        <v>20305.38</v>
      </c>
    </row>
    <row r="70" spans="1:62" x14ac:dyDescent="0.25">
      <c r="A70" s="266"/>
      <c r="B70" s="269"/>
      <c r="C70" s="21">
        <v>3</v>
      </c>
      <c r="D70" s="241">
        <v>63</v>
      </c>
      <c r="E70" s="66">
        <v>13514.1</v>
      </c>
      <c r="F70" s="22">
        <v>3446.17</v>
      </c>
      <c r="G70" s="23">
        <v>35.880000000000003</v>
      </c>
      <c r="H70" s="23">
        <v>16.25</v>
      </c>
      <c r="I70" s="23">
        <v>43.87</v>
      </c>
      <c r="J70" s="23">
        <v>14.25</v>
      </c>
      <c r="K70" s="23">
        <v>69.83</v>
      </c>
      <c r="L70" s="23">
        <v>17.649999999999999</v>
      </c>
      <c r="M70" s="22">
        <v>12968.49</v>
      </c>
      <c r="N70" s="22">
        <v>3940.03</v>
      </c>
      <c r="O70" s="95">
        <v>26632.16</v>
      </c>
      <c r="P70" s="125">
        <v>7434.35</v>
      </c>
      <c r="Q70" s="66">
        <v>6955.5</v>
      </c>
      <c r="R70" s="22">
        <v>1332.55</v>
      </c>
      <c r="S70" s="23">
        <v>29.63</v>
      </c>
      <c r="T70" s="23">
        <v>17.04</v>
      </c>
      <c r="U70" s="23">
        <v>508.84</v>
      </c>
      <c r="V70" s="24">
        <v>109.25</v>
      </c>
      <c r="W70" s="29">
        <v>0</v>
      </c>
      <c r="X70" s="29">
        <v>0</v>
      </c>
      <c r="Y70" s="95">
        <v>7493.96</v>
      </c>
      <c r="Z70" s="125">
        <v>1458.84</v>
      </c>
      <c r="AA70" s="66">
        <v>21011.05</v>
      </c>
      <c r="AB70" s="23">
        <v>713.34</v>
      </c>
      <c r="AC70" s="22">
        <v>8100.87</v>
      </c>
      <c r="AD70" s="22">
        <v>1196.0999999999999</v>
      </c>
      <c r="AE70" s="22">
        <v>6167.87</v>
      </c>
      <c r="AF70" s="23">
        <v>264.16000000000003</v>
      </c>
      <c r="AG70" s="23">
        <v>844.53</v>
      </c>
      <c r="AH70" s="23">
        <v>128.61000000000001</v>
      </c>
      <c r="AI70" s="95">
        <v>36124.32</v>
      </c>
      <c r="AJ70" s="125">
        <v>2302.2199999999998</v>
      </c>
      <c r="AK70" s="66">
        <v>50166.51</v>
      </c>
      <c r="AL70" s="22">
        <v>6914.69</v>
      </c>
      <c r="AM70" s="22">
        <v>8857.32</v>
      </c>
      <c r="AN70" s="23">
        <v>676.08</v>
      </c>
      <c r="AO70" s="22">
        <v>4458.8900000000003</v>
      </c>
      <c r="AP70" s="23">
        <v>505.35</v>
      </c>
      <c r="AQ70" s="23">
        <v>220.94</v>
      </c>
      <c r="AR70" s="23">
        <v>111.11</v>
      </c>
      <c r="AS70" s="22">
        <v>3379.95</v>
      </c>
      <c r="AT70" s="23">
        <v>308.5</v>
      </c>
      <c r="AU70" s="95">
        <v>67083.600000000006</v>
      </c>
      <c r="AV70" s="125">
        <v>8515.73</v>
      </c>
      <c r="AW70" s="66">
        <v>6172.16</v>
      </c>
      <c r="AX70" s="23">
        <v>586.03</v>
      </c>
      <c r="AY70" s="22">
        <v>3762.65</v>
      </c>
      <c r="AZ70" s="23">
        <v>472.05</v>
      </c>
      <c r="BA70" s="22">
        <v>1197.83</v>
      </c>
      <c r="BB70" s="23">
        <v>195.11</v>
      </c>
      <c r="BC70" s="23">
        <v>121</v>
      </c>
      <c r="BD70" s="23">
        <v>28.92</v>
      </c>
      <c r="BE70" s="95">
        <v>11253.64</v>
      </c>
      <c r="BF70" s="125">
        <v>1282.1099999999999</v>
      </c>
      <c r="BG70" s="66">
        <v>20499.580000000002</v>
      </c>
      <c r="BH70" s="170">
        <v>1251.6400000000001</v>
      </c>
      <c r="BI70" s="152">
        <v>169087.26</v>
      </c>
      <c r="BJ70" s="186">
        <v>22244.89</v>
      </c>
    </row>
    <row r="71" spans="1:62" x14ac:dyDescent="0.25">
      <c r="A71" s="266"/>
      <c r="B71" s="269"/>
      <c r="C71" s="21">
        <v>4</v>
      </c>
      <c r="D71" s="241">
        <v>64</v>
      </c>
      <c r="E71" s="66">
        <v>13508.24</v>
      </c>
      <c r="F71" s="22">
        <v>3209.55</v>
      </c>
      <c r="G71" s="23">
        <v>46.6</v>
      </c>
      <c r="H71" s="23">
        <v>14.26</v>
      </c>
      <c r="I71" s="23">
        <v>11.29</v>
      </c>
      <c r="J71" s="23">
        <v>1.65</v>
      </c>
      <c r="K71" s="23">
        <v>42.94</v>
      </c>
      <c r="L71" s="23">
        <v>11.88</v>
      </c>
      <c r="M71" s="22">
        <v>10687.16</v>
      </c>
      <c r="N71" s="22">
        <v>3236.69</v>
      </c>
      <c r="O71" s="95">
        <v>24296.22</v>
      </c>
      <c r="P71" s="125">
        <v>6474.02</v>
      </c>
      <c r="Q71" s="66">
        <v>5709.57</v>
      </c>
      <c r="R71" s="22">
        <v>1042.33</v>
      </c>
      <c r="S71" s="23">
        <v>33.53</v>
      </c>
      <c r="T71" s="23">
        <v>26.24</v>
      </c>
      <c r="U71" s="23">
        <v>411.95</v>
      </c>
      <c r="V71" s="24">
        <v>93.66</v>
      </c>
      <c r="W71" s="29">
        <v>0.13</v>
      </c>
      <c r="X71" s="29">
        <v>0.09</v>
      </c>
      <c r="Y71" s="95">
        <v>6155.19</v>
      </c>
      <c r="Z71" s="125">
        <v>1162.31</v>
      </c>
      <c r="AA71" s="66">
        <v>21083.49</v>
      </c>
      <c r="AB71" s="23">
        <v>674.1</v>
      </c>
      <c r="AC71" s="22">
        <v>6254.23</v>
      </c>
      <c r="AD71" s="23">
        <v>888.13</v>
      </c>
      <c r="AE71" s="22">
        <v>4575.25</v>
      </c>
      <c r="AF71" s="23">
        <v>208.03</v>
      </c>
      <c r="AG71" s="23">
        <v>658.65</v>
      </c>
      <c r="AH71" s="23">
        <v>106.53</v>
      </c>
      <c r="AI71" s="95">
        <v>32571.61</v>
      </c>
      <c r="AJ71" s="125">
        <v>1876.8</v>
      </c>
      <c r="AK71" s="66">
        <v>36844.410000000003</v>
      </c>
      <c r="AL71" s="22">
        <v>5071.1099999999997</v>
      </c>
      <c r="AM71" s="22">
        <v>7055.76</v>
      </c>
      <c r="AN71" s="23">
        <v>523.71</v>
      </c>
      <c r="AO71" s="22">
        <v>3488.31</v>
      </c>
      <c r="AP71" s="23">
        <v>398.01</v>
      </c>
      <c r="AQ71" s="23">
        <v>199.97</v>
      </c>
      <c r="AR71" s="23">
        <v>83.87</v>
      </c>
      <c r="AS71" s="22">
        <v>2634.37</v>
      </c>
      <c r="AT71" s="23">
        <v>242.65</v>
      </c>
      <c r="AU71" s="95">
        <v>50222.82</v>
      </c>
      <c r="AV71" s="125">
        <v>6319.34</v>
      </c>
      <c r="AW71" s="66">
        <v>4921.25</v>
      </c>
      <c r="AX71" s="23">
        <v>511.5</v>
      </c>
      <c r="AY71" s="22">
        <v>2509.1799999999998</v>
      </c>
      <c r="AZ71" s="23">
        <v>329.95</v>
      </c>
      <c r="BA71" s="23">
        <v>591.84</v>
      </c>
      <c r="BB71" s="23">
        <v>83.38</v>
      </c>
      <c r="BC71" s="23">
        <v>92.2</v>
      </c>
      <c r="BD71" s="23">
        <v>19.12</v>
      </c>
      <c r="BE71" s="95">
        <v>8114.46</v>
      </c>
      <c r="BF71" s="139">
        <v>943.94</v>
      </c>
      <c r="BG71" s="66">
        <v>16022.74</v>
      </c>
      <c r="BH71" s="169">
        <v>930.74</v>
      </c>
      <c r="BI71" s="152">
        <v>137383.04000000001</v>
      </c>
      <c r="BJ71" s="186">
        <v>17707.150000000001</v>
      </c>
    </row>
    <row r="72" spans="1:62" x14ac:dyDescent="0.25">
      <c r="A72" s="266"/>
      <c r="B72" s="269"/>
      <c r="C72" s="21">
        <v>5</v>
      </c>
      <c r="D72" s="241">
        <v>65</v>
      </c>
      <c r="E72" s="66">
        <v>20194.12</v>
      </c>
      <c r="F72" s="22">
        <v>4581.92</v>
      </c>
      <c r="G72" s="23">
        <v>57.81</v>
      </c>
      <c r="H72" s="23">
        <v>20.53</v>
      </c>
      <c r="I72" s="23">
        <v>16.2</v>
      </c>
      <c r="J72" s="23">
        <v>6.3</v>
      </c>
      <c r="K72" s="23">
        <v>43.58</v>
      </c>
      <c r="L72" s="23">
        <v>36.64</v>
      </c>
      <c r="M72" s="22">
        <v>14088.51</v>
      </c>
      <c r="N72" s="22">
        <v>4172.28</v>
      </c>
      <c r="O72" s="95">
        <v>34400.21</v>
      </c>
      <c r="P72" s="125">
        <v>8817.66</v>
      </c>
      <c r="Q72" s="66">
        <v>6376.66</v>
      </c>
      <c r="R72" s="22">
        <v>1244.6400000000001</v>
      </c>
      <c r="S72" s="23">
        <v>54.14</v>
      </c>
      <c r="T72" s="23">
        <v>35.18</v>
      </c>
      <c r="U72" s="23">
        <v>876.81</v>
      </c>
      <c r="V72" s="24">
        <v>181.32</v>
      </c>
      <c r="W72" s="29">
        <v>0.08</v>
      </c>
      <c r="X72" s="29">
        <v>0.06</v>
      </c>
      <c r="Y72" s="95">
        <v>7307.69</v>
      </c>
      <c r="Z72" s="125">
        <v>1461.2</v>
      </c>
      <c r="AA72" s="66">
        <v>19074.169999999998</v>
      </c>
      <c r="AB72" s="23">
        <v>658.03</v>
      </c>
      <c r="AC72" s="22">
        <v>7094.5</v>
      </c>
      <c r="AD72" s="22">
        <v>1082.78</v>
      </c>
      <c r="AE72" s="22">
        <v>4194.09</v>
      </c>
      <c r="AF72" s="23">
        <v>226.63</v>
      </c>
      <c r="AG72" s="23">
        <v>673.72</v>
      </c>
      <c r="AH72" s="23">
        <v>120.06</v>
      </c>
      <c r="AI72" s="95">
        <v>31036.49</v>
      </c>
      <c r="AJ72" s="125">
        <v>2087.4899999999998</v>
      </c>
      <c r="AK72" s="66">
        <v>49305.4</v>
      </c>
      <c r="AL72" s="22">
        <v>7137.82</v>
      </c>
      <c r="AM72" s="22">
        <v>8466.01</v>
      </c>
      <c r="AN72" s="23">
        <v>665.14</v>
      </c>
      <c r="AO72" s="22">
        <v>5153.43</v>
      </c>
      <c r="AP72" s="23">
        <v>599.34</v>
      </c>
      <c r="AQ72" s="23">
        <v>216.39</v>
      </c>
      <c r="AR72" s="23">
        <v>121.5</v>
      </c>
      <c r="AS72" s="22">
        <v>2838.36</v>
      </c>
      <c r="AT72" s="23">
        <v>264.25</v>
      </c>
      <c r="AU72" s="95">
        <v>65979.58</v>
      </c>
      <c r="AV72" s="125">
        <v>8788.0499999999993</v>
      </c>
      <c r="AW72" s="66">
        <v>6507.42</v>
      </c>
      <c r="AX72" s="23">
        <v>612.67999999999995</v>
      </c>
      <c r="AY72" s="22">
        <v>3281.93</v>
      </c>
      <c r="AZ72" s="23">
        <v>418.11</v>
      </c>
      <c r="BA72" s="23">
        <v>564.61</v>
      </c>
      <c r="BB72" s="23">
        <v>87.2</v>
      </c>
      <c r="BC72" s="23">
        <v>108.99</v>
      </c>
      <c r="BD72" s="23">
        <v>37.96</v>
      </c>
      <c r="BE72" s="95">
        <v>10462.950000000001</v>
      </c>
      <c r="BF72" s="125">
        <v>1155.95</v>
      </c>
      <c r="BG72" s="66">
        <v>22578.09</v>
      </c>
      <c r="BH72" s="170">
        <v>1165.42</v>
      </c>
      <c r="BI72" s="152">
        <v>171765.01</v>
      </c>
      <c r="BJ72" s="186">
        <v>23475.77</v>
      </c>
    </row>
    <row r="73" spans="1:62" x14ac:dyDescent="0.25">
      <c r="A73" s="266"/>
      <c r="B73" s="269"/>
      <c r="C73" s="21">
        <v>6</v>
      </c>
      <c r="D73" s="241">
        <v>66</v>
      </c>
      <c r="E73" s="66">
        <v>17938.810000000001</v>
      </c>
      <c r="F73" s="22">
        <v>4390.08</v>
      </c>
      <c r="G73" s="23">
        <v>27.95</v>
      </c>
      <c r="H73" s="23">
        <v>9.56</v>
      </c>
      <c r="I73" s="23">
        <v>8.75</v>
      </c>
      <c r="J73" s="23">
        <v>5.43</v>
      </c>
      <c r="K73" s="23">
        <v>59.87</v>
      </c>
      <c r="L73" s="23">
        <v>35.32</v>
      </c>
      <c r="M73" s="22">
        <v>13274.12</v>
      </c>
      <c r="N73" s="22">
        <v>4029.67</v>
      </c>
      <c r="O73" s="95">
        <v>31309.5</v>
      </c>
      <c r="P73" s="125">
        <v>8470.06</v>
      </c>
      <c r="Q73" s="66">
        <v>5698.28</v>
      </c>
      <c r="R73" s="22">
        <v>1189.78</v>
      </c>
      <c r="S73" s="23">
        <v>26.52</v>
      </c>
      <c r="T73" s="23">
        <v>23.3</v>
      </c>
      <c r="U73" s="23">
        <v>691.05</v>
      </c>
      <c r="V73" s="24">
        <v>137.47</v>
      </c>
      <c r="W73" s="29">
        <v>0.61</v>
      </c>
      <c r="X73" s="29">
        <v>0.45</v>
      </c>
      <c r="Y73" s="95">
        <v>6416.45</v>
      </c>
      <c r="Z73" s="125">
        <v>1351</v>
      </c>
      <c r="AA73" s="66">
        <v>17997.59</v>
      </c>
      <c r="AB73" s="23">
        <v>651.47</v>
      </c>
      <c r="AC73" s="22">
        <v>6401.03</v>
      </c>
      <c r="AD73" s="22">
        <v>1035.79</v>
      </c>
      <c r="AE73" s="22">
        <v>4585.3599999999997</v>
      </c>
      <c r="AF73" s="23">
        <v>264.04000000000002</v>
      </c>
      <c r="AG73" s="22">
        <v>1273.24</v>
      </c>
      <c r="AH73" s="23">
        <v>103.53</v>
      </c>
      <c r="AI73" s="95">
        <v>30257.22</v>
      </c>
      <c r="AJ73" s="125">
        <v>2054.8200000000002</v>
      </c>
      <c r="AK73" s="66">
        <v>48032.94</v>
      </c>
      <c r="AL73" s="22">
        <v>7224.81</v>
      </c>
      <c r="AM73" s="22">
        <v>9152.74</v>
      </c>
      <c r="AN73" s="23">
        <v>727.76</v>
      </c>
      <c r="AO73" s="22">
        <v>4924.1099999999997</v>
      </c>
      <c r="AP73" s="23">
        <v>592.55999999999995</v>
      </c>
      <c r="AQ73" s="23">
        <v>205.59</v>
      </c>
      <c r="AR73" s="23">
        <v>114.63</v>
      </c>
      <c r="AS73" s="22">
        <v>3269.19</v>
      </c>
      <c r="AT73" s="23">
        <v>318.8</v>
      </c>
      <c r="AU73" s="95">
        <v>65584.58</v>
      </c>
      <c r="AV73" s="125">
        <v>8978.5499999999993</v>
      </c>
      <c r="AW73" s="66">
        <v>6901.07</v>
      </c>
      <c r="AX73" s="23">
        <v>681.95</v>
      </c>
      <c r="AY73" s="22">
        <v>3073.35</v>
      </c>
      <c r="AZ73" s="23">
        <v>406.94</v>
      </c>
      <c r="BA73" s="23">
        <v>390.75</v>
      </c>
      <c r="BB73" s="23">
        <v>64.290000000000006</v>
      </c>
      <c r="BC73" s="23">
        <v>84.22</v>
      </c>
      <c r="BD73" s="23">
        <v>23.71</v>
      </c>
      <c r="BE73" s="95">
        <v>10449.39</v>
      </c>
      <c r="BF73" s="125">
        <v>1176.8800000000001</v>
      </c>
      <c r="BG73" s="66">
        <v>19051.47</v>
      </c>
      <c r="BH73" s="170">
        <v>1053.06</v>
      </c>
      <c r="BI73" s="152">
        <v>163068.60999999999</v>
      </c>
      <c r="BJ73" s="186">
        <v>23084.38</v>
      </c>
    </row>
    <row r="74" spans="1:62" x14ac:dyDescent="0.25">
      <c r="A74" s="266"/>
      <c r="B74" s="269"/>
      <c r="C74" s="21">
        <v>7</v>
      </c>
      <c r="D74" s="241">
        <v>67</v>
      </c>
      <c r="E74" s="66">
        <v>19266.29</v>
      </c>
      <c r="F74" s="22">
        <v>4593.8900000000003</v>
      </c>
      <c r="G74" s="23">
        <v>26.6</v>
      </c>
      <c r="H74" s="23">
        <v>6.84</v>
      </c>
      <c r="I74" s="23">
        <v>6.68</v>
      </c>
      <c r="J74" s="23">
        <v>1.87</v>
      </c>
      <c r="K74" s="23">
        <v>57.55</v>
      </c>
      <c r="L74" s="23">
        <v>38.51</v>
      </c>
      <c r="M74" s="22">
        <v>15060.81</v>
      </c>
      <c r="N74" s="22">
        <v>4511.74</v>
      </c>
      <c r="O74" s="95">
        <v>34417.919999999998</v>
      </c>
      <c r="P74" s="125">
        <v>9152.85</v>
      </c>
      <c r="Q74" s="66">
        <v>4612.3999999999996</v>
      </c>
      <c r="R74" s="22">
        <v>1033.92</v>
      </c>
      <c r="S74" s="23">
        <v>13.39</v>
      </c>
      <c r="T74" s="23">
        <v>9.31</v>
      </c>
      <c r="U74" s="23">
        <v>687.54</v>
      </c>
      <c r="V74" s="24">
        <v>134.22</v>
      </c>
      <c r="W74" s="29">
        <v>0</v>
      </c>
      <c r="X74" s="29">
        <v>0</v>
      </c>
      <c r="Y74" s="95">
        <v>5313.33</v>
      </c>
      <c r="Z74" s="125">
        <v>1177.46</v>
      </c>
      <c r="AA74" s="66">
        <v>17372.38</v>
      </c>
      <c r="AB74" s="23">
        <v>634.99</v>
      </c>
      <c r="AC74" s="22">
        <v>7194.87</v>
      </c>
      <c r="AD74" s="22">
        <v>1115.73</v>
      </c>
      <c r="AE74" s="22">
        <v>5844.28</v>
      </c>
      <c r="AF74" s="23">
        <v>305.37</v>
      </c>
      <c r="AG74" s="23">
        <v>561.09</v>
      </c>
      <c r="AH74" s="23">
        <v>106.95</v>
      </c>
      <c r="AI74" s="95">
        <v>30972.62</v>
      </c>
      <c r="AJ74" s="125">
        <v>2163.0500000000002</v>
      </c>
      <c r="AK74" s="66">
        <v>50446.81</v>
      </c>
      <c r="AL74" s="22">
        <v>7615.74</v>
      </c>
      <c r="AM74" s="22">
        <v>9815.99</v>
      </c>
      <c r="AN74" s="23">
        <v>778.65</v>
      </c>
      <c r="AO74" s="22">
        <v>5153.7299999999996</v>
      </c>
      <c r="AP74" s="23">
        <v>590.29</v>
      </c>
      <c r="AQ74" s="23">
        <v>267.18</v>
      </c>
      <c r="AR74" s="23">
        <v>127</v>
      </c>
      <c r="AS74" s="22">
        <v>2334.4299999999998</v>
      </c>
      <c r="AT74" s="23">
        <v>214.89</v>
      </c>
      <c r="AU74" s="95">
        <v>68018.149999999994</v>
      </c>
      <c r="AV74" s="125">
        <v>9326.56</v>
      </c>
      <c r="AW74" s="66">
        <v>6439.93</v>
      </c>
      <c r="AX74" s="23">
        <v>628.22</v>
      </c>
      <c r="AY74" s="22">
        <v>3350.6</v>
      </c>
      <c r="AZ74" s="23">
        <v>452.06</v>
      </c>
      <c r="BA74" s="23">
        <v>479.71</v>
      </c>
      <c r="BB74" s="23">
        <v>78.489999999999995</v>
      </c>
      <c r="BC74" s="23">
        <v>145.03</v>
      </c>
      <c r="BD74" s="23">
        <v>45.92</v>
      </c>
      <c r="BE74" s="95">
        <v>10415.27</v>
      </c>
      <c r="BF74" s="125">
        <v>1204.7</v>
      </c>
      <c r="BG74" s="66">
        <v>20126.32</v>
      </c>
      <c r="BH74" s="170">
        <v>1144.8900000000001</v>
      </c>
      <c r="BI74" s="152">
        <v>169263.61</v>
      </c>
      <c r="BJ74" s="186">
        <v>24169.5</v>
      </c>
    </row>
    <row r="75" spans="1:62" x14ac:dyDescent="0.25">
      <c r="A75" s="266"/>
      <c r="B75" s="269"/>
      <c r="C75" s="21">
        <v>8</v>
      </c>
      <c r="D75" s="241">
        <v>68</v>
      </c>
      <c r="E75" s="66">
        <v>15615.82</v>
      </c>
      <c r="F75" s="22">
        <v>3805.53</v>
      </c>
      <c r="G75" s="23">
        <v>21.24</v>
      </c>
      <c r="H75" s="23">
        <v>4.88</v>
      </c>
      <c r="I75" s="23">
        <v>11.37</v>
      </c>
      <c r="J75" s="23">
        <v>6.44</v>
      </c>
      <c r="K75" s="23">
        <v>64.5</v>
      </c>
      <c r="L75" s="23">
        <v>32.880000000000003</v>
      </c>
      <c r="M75" s="22">
        <v>15776.21</v>
      </c>
      <c r="N75" s="22">
        <v>4739.51</v>
      </c>
      <c r="O75" s="95">
        <v>31489.119999999999</v>
      </c>
      <c r="P75" s="125">
        <v>8589.23</v>
      </c>
      <c r="Q75" s="66">
        <v>4245.26</v>
      </c>
      <c r="R75" s="23">
        <v>912.53</v>
      </c>
      <c r="S75" s="23">
        <v>25.39</v>
      </c>
      <c r="T75" s="23">
        <v>18.05</v>
      </c>
      <c r="U75" s="23">
        <v>843.16</v>
      </c>
      <c r="V75" s="24">
        <v>159.05000000000001</v>
      </c>
      <c r="W75" s="29">
        <v>1.48</v>
      </c>
      <c r="X75" s="29">
        <v>0.96</v>
      </c>
      <c r="Y75" s="95">
        <v>5115.3</v>
      </c>
      <c r="Z75" s="125">
        <v>1090.5899999999999</v>
      </c>
      <c r="AA75" s="66">
        <v>15385.01</v>
      </c>
      <c r="AB75" s="23">
        <v>605.36</v>
      </c>
      <c r="AC75" s="22">
        <v>6363.91</v>
      </c>
      <c r="AD75" s="22">
        <v>1120.1400000000001</v>
      </c>
      <c r="AE75" s="22">
        <v>5809.32</v>
      </c>
      <c r="AF75" s="23">
        <v>300.26</v>
      </c>
      <c r="AG75" s="23">
        <v>468.71</v>
      </c>
      <c r="AH75" s="23">
        <v>87.25</v>
      </c>
      <c r="AI75" s="95">
        <v>28026.94</v>
      </c>
      <c r="AJ75" s="125">
        <v>2113.0100000000002</v>
      </c>
      <c r="AK75" s="66">
        <v>47703.88</v>
      </c>
      <c r="AL75" s="22">
        <v>7456.19</v>
      </c>
      <c r="AM75" s="22">
        <v>11120.27</v>
      </c>
      <c r="AN75" s="23">
        <v>895.04</v>
      </c>
      <c r="AO75" s="22">
        <v>4369.0200000000004</v>
      </c>
      <c r="AP75" s="23">
        <v>536.1</v>
      </c>
      <c r="AQ75" s="23">
        <v>332.11</v>
      </c>
      <c r="AR75" s="23">
        <v>155.68</v>
      </c>
      <c r="AS75" s="22">
        <v>1860.81</v>
      </c>
      <c r="AT75" s="23">
        <v>192.92</v>
      </c>
      <c r="AU75" s="95">
        <v>65386.09</v>
      </c>
      <c r="AV75" s="125">
        <v>9235.92</v>
      </c>
      <c r="AW75" s="66">
        <v>5915.86</v>
      </c>
      <c r="AX75" s="23">
        <v>596</v>
      </c>
      <c r="AY75" s="22">
        <v>4447.8500000000004</v>
      </c>
      <c r="AZ75" s="23">
        <v>556.08000000000004</v>
      </c>
      <c r="BA75" s="23">
        <v>633.54</v>
      </c>
      <c r="BB75" s="23">
        <v>107.43</v>
      </c>
      <c r="BC75" s="23">
        <v>69.959999999999994</v>
      </c>
      <c r="BD75" s="23">
        <v>10.41</v>
      </c>
      <c r="BE75" s="95">
        <v>11067.21</v>
      </c>
      <c r="BF75" s="125">
        <v>1269.92</v>
      </c>
      <c r="BG75" s="66">
        <v>20337.34</v>
      </c>
      <c r="BH75" s="170">
        <v>1089.99</v>
      </c>
      <c r="BI75" s="152">
        <v>161422</v>
      </c>
      <c r="BJ75" s="186">
        <v>23388.67</v>
      </c>
    </row>
    <row r="76" spans="1:62" x14ac:dyDescent="0.25">
      <c r="A76" s="266"/>
      <c r="B76" s="269"/>
      <c r="C76" s="21">
        <v>9</v>
      </c>
      <c r="D76" s="241">
        <v>69</v>
      </c>
      <c r="E76" s="66">
        <v>15196.77</v>
      </c>
      <c r="F76" s="22">
        <v>4027.18</v>
      </c>
      <c r="G76" s="23">
        <v>12.64</v>
      </c>
      <c r="H76" s="23">
        <v>3.95</v>
      </c>
      <c r="I76" s="23">
        <v>46.7</v>
      </c>
      <c r="J76" s="23">
        <v>8.25</v>
      </c>
      <c r="K76" s="23">
        <v>90.56</v>
      </c>
      <c r="L76" s="23">
        <v>44.78</v>
      </c>
      <c r="M76" s="22">
        <v>15759.87</v>
      </c>
      <c r="N76" s="22">
        <v>4781.99</v>
      </c>
      <c r="O76" s="95">
        <v>31106.54</v>
      </c>
      <c r="P76" s="125">
        <v>8866.14</v>
      </c>
      <c r="Q76" s="66">
        <v>4193.04</v>
      </c>
      <c r="R76" s="23">
        <v>914.51</v>
      </c>
      <c r="S76" s="23">
        <v>34.24</v>
      </c>
      <c r="T76" s="23">
        <v>30.47</v>
      </c>
      <c r="U76" s="23">
        <v>746.69</v>
      </c>
      <c r="V76" s="24">
        <v>147.61000000000001</v>
      </c>
      <c r="W76" s="29">
        <v>0</v>
      </c>
      <c r="X76" s="29">
        <v>0</v>
      </c>
      <c r="Y76" s="95">
        <v>4973.97</v>
      </c>
      <c r="Z76" s="125">
        <v>1092.5899999999999</v>
      </c>
      <c r="AA76" s="66">
        <v>15839.2</v>
      </c>
      <c r="AB76" s="23">
        <v>603.69000000000005</v>
      </c>
      <c r="AC76" s="22">
        <v>7270.23</v>
      </c>
      <c r="AD76" s="22">
        <v>1125.9100000000001</v>
      </c>
      <c r="AE76" s="22">
        <v>6080.24</v>
      </c>
      <c r="AF76" s="23">
        <v>285.7</v>
      </c>
      <c r="AG76" s="23">
        <v>544.97</v>
      </c>
      <c r="AH76" s="23">
        <v>106.23</v>
      </c>
      <c r="AI76" s="95">
        <v>29734.639999999999</v>
      </c>
      <c r="AJ76" s="125">
        <v>2121.52</v>
      </c>
      <c r="AK76" s="66">
        <v>49240.31</v>
      </c>
      <c r="AL76" s="22">
        <v>7404.54</v>
      </c>
      <c r="AM76" s="22">
        <v>8408.0300000000007</v>
      </c>
      <c r="AN76" s="23">
        <v>646.17999999999995</v>
      </c>
      <c r="AO76" s="22">
        <v>3786.41</v>
      </c>
      <c r="AP76" s="23">
        <v>469.05</v>
      </c>
      <c r="AQ76" s="23">
        <v>238.81</v>
      </c>
      <c r="AR76" s="23">
        <v>114.25</v>
      </c>
      <c r="AS76" s="22">
        <v>1738.39</v>
      </c>
      <c r="AT76" s="23">
        <v>182.64</v>
      </c>
      <c r="AU76" s="95">
        <v>63411.95</v>
      </c>
      <c r="AV76" s="125">
        <v>8816.65</v>
      </c>
      <c r="AW76" s="66">
        <v>6004.91</v>
      </c>
      <c r="AX76" s="23">
        <v>613.49</v>
      </c>
      <c r="AY76" s="22">
        <v>5245.87</v>
      </c>
      <c r="AZ76" s="23">
        <v>660.69</v>
      </c>
      <c r="BA76" s="23">
        <v>401.35</v>
      </c>
      <c r="BB76" s="23">
        <v>73.680000000000007</v>
      </c>
      <c r="BC76" s="23">
        <v>104.46</v>
      </c>
      <c r="BD76" s="23">
        <v>30.44</v>
      </c>
      <c r="BE76" s="95">
        <v>11756.59</v>
      </c>
      <c r="BF76" s="125">
        <v>1378.3</v>
      </c>
      <c r="BG76" s="66">
        <v>17507.22</v>
      </c>
      <c r="BH76" s="170">
        <v>1046.3499999999999</v>
      </c>
      <c r="BI76" s="152">
        <v>158490.89000000001</v>
      </c>
      <c r="BJ76" s="186">
        <v>23321.55</v>
      </c>
    </row>
    <row r="77" spans="1:62" x14ac:dyDescent="0.25">
      <c r="A77" s="266"/>
      <c r="B77" s="269"/>
      <c r="C77" s="21">
        <v>10</v>
      </c>
      <c r="D77" s="241">
        <v>70</v>
      </c>
      <c r="E77" s="66">
        <v>16936.439999999999</v>
      </c>
      <c r="F77" s="22">
        <v>4035.55</v>
      </c>
      <c r="G77" s="23">
        <v>42.81</v>
      </c>
      <c r="H77" s="23">
        <v>10.83</v>
      </c>
      <c r="I77" s="23">
        <v>8.0399999999999991</v>
      </c>
      <c r="J77" s="23">
        <v>4.67</v>
      </c>
      <c r="K77" s="23">
        <v>56.71</v>
      </c>
      <c r="L77" s="23">
        <v>21.76</v>
      </c>
      <c r="M77" s="22">
        <v>16533.689999999999</v>
      </c>
      <c r="N77" s="22">
        <v>4952.92</v>
      </c>
      <c r="O77" s="95">
        <v>33577.68</v>
      </c>
      <c r="P77" s="125">
        <v>9025.73</v>
      </c>
      <c r="Q77" s="66">
        <v>5376.29</v>
      </c>
      <c r="R77" s="22">
        <v>1134.78</v>
      </c>
      <c r="S77" s="23">
        <v>46.23</v>
      </c>
      <c r="T77" s="23">
        <v>34.58</v>
      </c>
      <c r="U77" s="23">
        <v>801.78</v>
      </c>
      <c r="V77" s="24">
        <v>148.22</v>
      </c>
      <c r="W77" s="29">
        <v>19.5</v>
      </c>
      <c r="X77" s="29">
        <v>3.82</v>
      </c>
      <c r="Y77" s="95">
        <v>6243.8</v>
      </c>
      <c r="Z77" s="125">
        <v>1321.39</v>
      </c>
      <c r="AA77" s="66">
        <v>15671.4</v>
      </c>
      <c r="AB77" s="23">
        <v>596.48</v>
      </c>
      <c r="AC77" s="22">
        <v>7724.58</v>
      </c>
      <c r="AD77" s="22">
        <v>1142.53</v>
      </c>
      <c r="AE77" s="22">
        <v>8349.9699999999993</v>
      </c>
      <c r="AF77" s="23">
        <v>379.64</v>
      </c>
      <c r="AG77" s="23">
        <v>505.19</v>
      </c>
      <c r="AH77" s="23">
        <v>96.91</v>
      </c>
      <c r="AI77" s="95">
        <v>32251.14</v>
      </c>
      <c r="AJ77" s="125">
        <v>2215.56</v>
      </c>
      <c r="AK77" s="66">
        <v>46190.76</v>
      </c>
      <c r="AL77" s="22">
        <v>6877.26</v>
      </c>
      <c r="AM77" s="22">
        <v>10848.28</v>
      </c>
      <c r="AN77" s="23">
        <v>825.08</v>
      </c>
      <c r="AO77" s="22">
        <v>4760.97</v>
      </c>
      <c r="AP77" s="23">
        <v>556.9</v>
      </c>
      <c r="AQ77" s="23">
        <v>294.69</v>
      </c>
      <c r="AR77" s="23">
        <v>169.74</v>
      </c>
      <c r="AS77" s="22">
        <v>1870.63</v>
      </c>
      <c r="AT77" s="23">
        <v>192.86</v>
      </c>
      <c r="AU77" s="95">
        <v>63965.33</v>
      </c>
      <c r="AV77" s="125">
        <v>8621.84</v>
      </c>
      <c r="AW77" s="66">
        <v>6137.25</v>
      </c>
      <c r="AX77" s="23">
        <v>595.14</v>
      </c>
      <c r="AY77" s="22">
        <v>5967.69</v>
      </c>
      <c r="AZ77" s="23">
        <v>689.82</v>
      </c>
      <c r="BA77" s="22">
        <v>1245.9000000000001</v>
      </c>
      <c r="BB77" s="23">
        <v>218.8</v>
      </c>
      <c r="BC77" s="23">
        <v>105.35</v>
      </c>
      <c r="BD77" s="23">
        <v>21.62</v>
      </c>
      <c r="BE77" s="95">
        <v>13456.18</v>
      </c>
      <c r="BF77" s="125">
        <v>1525.38</v>
      </c>
      <c r="BG77" s="66">
        <v>18379.12</v>
      </c>
      <c r="BH77" s="169">
        <v>998.4</v>
      </c>
      <c r="BI77" s="152">
        <v>167873.24</v>
      </c>
      <c r="BJ77" s="186">
        <v>23708.3</v>
      </c>
    </row>
    <row r="78" spans="1:62" x14ac:dyDescent="0.25">
      <c r="A78" s="266"/>
      <c r="B78" s="269"/>
      <c r="C78" s="21">
        <v>11</v>
      </c>
      <c r="D78" s="241">
        <v>71</v>
      </c>
      <c r="E78" s="66">
        <v>16449.02</v>
      </c>
      <c r="F78" s="22">
        <v>4274.33</v>
      </c>
      <c r="G78" s="23">
        <v>41.41</v>
      </c>
      <c r="H78" s="23">
        <v>11.6</v>
      </c>
      <c r="I78" s="23">
        <v>20.45</v>
      </c>
      <c r="J78" s="23">
        <v>4.0599999999999996</v>
      </c>
      <c r="K78" s="23">
        <v>97.5</v>
      </c>
      <c r="L78" s="23">
        <v>31.8</v>
      </c>
      <c r="M78" s="22">
        <v>16216.18</v>
      </c>
      <c r="N78" s="22">
        <v>4903.66</v>
      </c>
      <c r="O78" s="95">
        <v>32824.559999999998</v>
      </c>
      <c r="P78" s="125">
        <v>9225.44</v>
      </c>
      <c r="Q78" s="66">
        <v>4507.5600000000004</v>
      </c>
      <c r="R78" s="23">
        <v>970.69</v>
      </c>
      <c r="S78" s="23">
        <v>50.9</v>
      </c>
      <c r="T78" s="23">
        <v>41.74</v>
      </c>
      <c r="U78" s="23">
        <v>718.6</v>
      </c>
      <c r="V78" s="24">
        <v>140.82</v>
      </c>
      <c r="W78" s="29">
        <v>0</v>
      </c>
      <c r="X78" s="29">
        <v>0</v>
      </c>
      <c r="Y78" s="95">
        <v>5277.06</v>
      </c>
      <c r="Z78" s="125">
        <v>1153.25</v>
      </c>
      <c r="AA78" s="66">
        <v>14672.12</v>
      </c>
      <c r="AB78" s="23">
        <v>477.75</v>
      </c>
      <c r="AC78" s="22">
        <v>6929.5</v>
      </c>
      <c r="AD78" s="22">
        <v>1114.2</v>
      </c>
      <c r="AE78" s="22">
        <v>10908.83</v>
      </c>
      <c r="AF78" s="23">
        <v>534.53</v>
      </c>
      <c r="AG78" s="23">
        <v>494.3</v>
      </c>
      <c r="AH78" s="23">
        <v>91.98</v>
      </c>
      <c r="AI78" s="95">
        <v>33004.75</v>
      </c>
      <c r="AJ78" s="125">
        <v>2218.4499999999998</v>
      </c>
      <c r="AK78" s="66">
        <v>48600.44</v>
      </c>
      <c r="AL78" s="22">
        <v>7317.5</v>
      </c>
      <c r="AM78" s="22">
        <v>10563.33</v>
      </c>
      <c r="AN78" s="23">
        <v>761.21</v>
      </c>
      <c r="AO78" s="22">
        <v>5001.18</v>
      </c>
      <c r="AP78" s="23">
        <v>640.49</v>
      </c>
      <c r="AQ78" s="23">
        <v>293.17</v>
      </c>
      <c r="AR78" s="23">
        <v>129.69</v>
      </c>
      <c r="AS78" s="22">
        <v>2461.04</v>
      </c>
      <c r="AT78" s="23">
        <v>248.53</v>
      </c>
      <c r="AU78" s="95">
        <v>66919.16</v>
      </c>
      <c r="AV78" s="125">
        <v>9097.43</v>
      </c>
      <c r="AW78" s="66">
        <v>6361.56</v>
      </c>
      <c r="AX78" s="23">
        <v>610.16999999999996</v>
      </c>
      <c r="AY78" s="22">
        <v>6320.39</v>
      </c>
      <c r="AZ78" s="23">
        <v>691.35</v>
      </c>
      <c r="BA78" s="22">
        <v>1301.47</v>
      </c>
      <c r="BB78" s="23">
        <v>231.99</v>
      </c>
      <c r="BC78" s="23">
        <v>112.73</v>
      </c>
      <c r="BD78" s="23">
        <v>22.71</v>
      </c>
      <c r="BE78" s="95">
        <v>14096.14</v>
      </c>
      <c r="BF78" s="125">
        <v>1556.22</v>
      </c>
      <c r="BG78" s="66">
        <v>26821.83</v>
      </c>
      <c r="BH78" s="170">
        <v>1371.2</v>
      </c>
      <c r="BI78" s="152">
        <v>178943.5</v>
      </c>
      <c r="BJ78" s="186">
        <v>24621.98</v>
      </c>
    </row>
    <row r="79" spans="1:62" x14ac:dyDescent="0.25">
      <c r="A79" s="267"/>
      <c r="B79" s="270"/>
      <c r="C79" s="21">
        <v>12</v>
      </c>
      <c r="D79" s="241">
        <v>72</v>
      </c>
      <c r="E79" s="66">
        <v>14233.61</v>
      </c>
      <c r="F79" s="22">
        <v>3452.45</v>
      </c>
      <c r="G79" s="23">
        <v>25.57</v>
      </c>
      <c r="H79" s="23">
        <v>10.45</v>
      </c>
      <c r="I79" s="23">
        <v>11.64</v>
      </c>
      <c r="J79" s="23">
        <v>6.98</v>
      </c>
      <c r="K79" s="23">
        <v>57.06</v>
      </c>
      <c r="L79" s="23">
        <v>25.81</v>
      </c>
      <c r="M79" s="22">
        <v>13299.47</v>
      </c>
      <c r="N79" s="22">
        <v>3931.5</v>
      </c>
      <c r="O79" s="95">
        <v>27627.35</v>
      </c>
      <c r="P79" s="125">
        <v>7427.19</v>
      </c>
      <c r="Q79" s="66">
        <v>4482.43</v>
      </c>
      <c r="R79" s="22">
        <v>1153.6300000000001</v>
      </c>
      <c r="S79" s="23">
        <v>31.15</v>
      </c>
      <c r="T79" s="23">
        <v>23.35</v>
      </c>
      <c r="U79" s="23">
        <v>654.86</v>
      </c>
      <c r="V79" s="24">
        <v>132.99</v>
      </c>
      <c r="W79" s="29">
        <v>0</v>
      </c>
      <c r="X79" s="29">
        <v>0</v>
      </c>
      <c r="Y79" s="95">
        <v>5168.45</v>
      </c>
      <c r="Z79" s="125">
        <v>1309.97</v>
      </c>
      <c r="AA79" s="66">
        <v>15521.97</v>
      </c>
      <c r="AB79" s="23">
        <v>510.88</v>
      </c>
      <c r="AC79" s="22">
        <v>5807.56</v>
      </c>
      <c r="AD79" s="23">
        <v>916.75</v>
      </c>
      <c r="AE79" s="22">
        <v>5696.41</v>
      </c>
      <c r="AF79" s="23">
        <v>295.13</v>
      </c>
      <c r="AG79" s="23">
        <v>541.1</v>
      </c>
      <c r="AH79" s="23">
        <v>88.53</v>
      </c>
      <c r="AI79" s="95">
        <v>27567.03</v>
      </c>
      <c r="AJ79" s="125">
        <v>1811.3</v>
      </c>
      <c r="AK79" s="66">
        <v>43153.18</v>
      </c>
      <c r="AL79" s="22">
        <v>6479.41</v>
      </c>
      <c r="AM79" s="22">
        <v>10665.55</v>
      </c>
      <c r="AN79" s="23">
        <v>768.29</v>
      </c>
      <c r="AO79" s="22">
        <v>4011.71</v>
      </c>
      <c r="AP79" s="23">
        <v>521.80999999999995</v>
      </c>
      <c r="AQ79" s="23">
        <v>354.36</v>
      </c>
      <c r="AR79" s="23">
        <v>180.2</v>
      </c>
      <c r="AS79" s="22">
        <v>1438.87</v>
      </c>
      <c r="AT79" s="23">
        <v>143.97999999999999</v>
      </c>
      <c r="AU79" s="95">
        <v>59623.67</v>
      </c>
      <c r="AV79" s="125">
        <v>8093.69</v>
      </c>
      <c r="AW79" s="66">
        <v>5378.17</v>
      </c>
      <c r="AX79" s="23">
        <v>515.01</v>
      </c>
      <c r="AY79" s="22">
        <v>5973.75</v>
      </c>
      <c r="AZ79" s="23">
        <v>600.53</v>
      </c>
      <c r="BA79" s="22">
        <v>1981.06</v>
      </c>
      <c r="BB79" s="23">
        <v>337.82</v>
      </c>
      <c r="BC79" s="23">
        <v>98.51</v>
      </c>
      <c r="BD79" s="23">
        <v>16.38</v>
      </c>
      <c r="BE79" s="95">
        <v>13431.49</v>
      </c>
      <c r="BF79" s="125">
        <v>1469.74</v>
      </c>
      <c r="BG79" s="66">
        <v>23048.2</v>
      </c>
      <c r="BH79" s="170">
        <v>1201.42</v>
      </c>
      <c r="BI79" s="152">
        <v>156466.19</v>
      </c>
      <c r="BJ79" s="186">
        <v>21313.31</v>
      </c>
    </row>
    <row r="80" spans="1:62" x14ac:dyDescent="0.25">
      <c r="A80" s="354">
        <v>2556</v>
      </c>
      <c r="B80" s="355">
        <v>2013</v>
      </c>
      <c r="C80" s="30">
        <v>1</v>
      </c>
      <c r="D80" s="242">
        <v>73</v>
      </c>
      <c r="E80" s="234">
        <v>11655.2</v>
      </c>
      <c r="F80" s="31">
        <v>2829.72</v>
      </c>
      <c r="G80" s="32">
        <v>69.38</v>
      </c>
      <c r="H80" s="33">
        <v>18.170000000000002</v>
      </c>
      <c r="I80" s="34">
        <v>2.31</v>
      </c>
      <c r="J80" s="35">
        <v>1.41</v>
      </c>
      <c r="K80" s="35">
        <v>57.18</v>
      </c>
      <c r="L80" s="35">
        <v>25.86</v>
      </c>
      <c r="M80" s="36">
        <v>10717.64</v>
      </c>
      <c r="N80" s="36">
        <v>3176.87</v>
      </c>
      <c r="O80" s="96">
        <v>22501.71</v>
      </c>
      <c r="P80" s="126">
        <v>6052.03</v>
      </c>
      <c r="Q80" s="69">
        <v>4437.1400000000003</v>
      </c>
      <c r="R80" s="36">
        <v>848.89</v>
      </c>
      <c r="S80" s="36">
        <v>28.28</v>
      </c>
      <c r="T80" s="35">
        <v>14.59</v>
      </c>
      <c r="U80" s="35">
        <v>568.29999999999995</v>
      </c>
      <c r="V80" s="35">
        <v>124.84</v>
      </c>
      <c r="W80" s="35">
        <v>0</v>
      </c>
      <c r="X80" s="35">
        <v>0</v>
      </c>
      <c r="Y80" s="96">
        <v>5033.71</v>
      </c>
      <c r="Z80" s="127">
        <v>988.32</v>
      </c>
      <c r="AA80" s="69">
        <v>16244.39</v>
      </c>
      <c r="AB80" s="35">
        <v>468.26</v>
      </c>
      <c r="AC80" s="36">
        <v>5385.3</v>
      </c>
      <c r="AD80" s="35">
        <v>757.07</v>
      </c>
      <c r="AE80" s="36">
        <v>5358.6</v>
      </c>
      <c r="AF80" s="35">
        <v>296.47000000000003</v>
      </c>
      <c r="AG80" s="36">
        <v>580.16999999999996</v>
      </c>
      <c r="AH80" s="35">
        <v>106.52</v>
      </c>
      <c r="AI80" s="96">
        <v>27568.46</v>
      </c>
      <c r="AJ80" s="126">
        <v>1628.33</v>
      </c>
      <c r="AK80" s="69">
        <v>42787.73</v>
      </c>
      <c r="AL80" s="36">
        <v>6281.89</v>
      </c>
      <c r="AM80" s="36">
        <v>10915.22</v>
      </c>
      <c r="AN80" s="36">
        <v>823.02</v>
      </c>
      <c r="AO80" s="36">
        <v>4763.93</v>
      </c>
      <c r="AP80" s="35">
        <v>563.99</v>
      </c>
      <c r="AQ80" s="36">
        <v>143.27000000000001</v>
      </c>
      <c r="AR80" s="35">
        <v>62.48</v>
      </c>
      <c r="AS80" s="36">
        <v>1258.2</v>
      </c>
      <c r="AT80" s="35">
        <v>129.84</v>
      </c>
      <c r="AU80" s="96">
        <v>59868.35</v>
      </c>
      <c r="AV80" s="126">
        <v>7861.22</v>
      </c>
      <c r="AW80" s="69">
        <v>5850.89</v>
      </c>
      <c r="AX80" s="36">
        <v>554.62</v>
      </c>
      <c r="AY80" s="36">
        <v>5446.26</v>
      </c>
      <c r="AZ80" s="35">
        <v>589.94000000000005</v>
      </c>
      <c r="BA80" s="36">
        <v>1709.1</v>
      </c>
      <c r="BB80" s="35">
        <v>282.27999999999997</v>
      </c>
      <c r="BC80" s="36">
        <v>96.78</v>
      </c>
      <c r="BD80" s="35">
        <v>16.059999999999999</v>
      </c>
      <c r="BE80" s="96">
        <v>13103.03</v>
      </c>
      <c r="BF80" s="126">
        <v>1442.9</v>
      </c>
      <c r="BG80" s="69">
        <v>16615.55</v>
      </c>
      <c r="BH80" s="171">
        <v>934.8</v>
      </c>
      <c r="BI80" s="153">
        <v>144690.81</v>
      </c>
      <c r="BJ80" s="187">
        <v>18907.599999999999</v>
      </c>
    </row>
    <row r="81" spans="1:62" x14ac:dyDescent="0.25">
      <c r="A81" s="354"/>
      <c r="B81" s="355"/>
      <c r="C81" s="30">
        <v>2</v>
      </c>
      <c r="D81" s="242">
        <v>74</v>
      </c>
      <c r="E81" s="117">
        <v>9577.41</v>
      </c>
      <c r="F81" s="31">
        <v>2370.25</v>
      </c>
      <c r="G81" s="33">
        <v>11.67</v>
      </c>
      <c r="H81" s="33">
        <v>5.24</v>
      </c>
      <c r="I81" s="35">
        <v>0.1</v>
      </c>
      <c r="J81" s="35">
        <v>0.01</v>
      </c>
      <c r="K81" s="35">
        <v>82.04</v>
      </c>
      <c r="L81" s="35">
        <v>26.66</v>
      </c>
      <c r="M81" s="36">
        <v>9009.42</v>
      </c>
      <c r="N81" s="36">
        <v>2633.91</v>
      </c>
      <c r="O81" s="96">
        <v>18680.63</v>
      </c>
      <c r="P81" s="126">
        <v>5036.07</v>
      </c>
      <c r="Q81" s="69">
        <v>4823.7299999999996</v>
      </c>
      <c r="R81" s="36">
        <v>833.69</v>
      </c>
      <c r="S81" s="36">
        <v>24.82</v>
      </c>
      <c r="T81" s="35">
        <v>16.989999999999998</v>
      </c>
      <c r="U81" s="35">
        <v>726.57</v>
      </c>
      <c r="V81" s="35">
        <v>130.38</v>
      </c>
      <c r="W81" s="35">
        <v>0</v>
      </c>
      <c r="X81" s="35">
        <v>0</v>
      </c>
      <c r="Y81" s="96">
        <v>5575.12</v>
      </c>
      <c r="Z81" s="127">
        <v>981.06</v>
      </c>
      <c r="AA81" s="69">
        <v>14494.24</v>
      </c>
      <c r="AB81" s="35">
        <v>431.59</v>
      </c>
      <c r="AC81" s="36">
        <v>4888.84</v>
      </c>
      <c r="AD81" s="35">
        <v>663.54</v>
      </c>
      <c r="AE81" s="36">
        <v>5684.48</v>
      </c>
      <c r="AF81" s="35">
        <v>376.51</v>
      </c>
      <c r="AG81" s="36">
        <v>638.03</v>
      </c>
      <c r="AH81" s="35">
        <v>118.35</v>
      </c>
      <c r="AI81" s="96">
        <v>25705.59</v>
      </c>
      <c r="AJ81" s="126">
        <v>1590</v>
      </c>
      <c r="AK81" s="69">
        <v>47137.26</v>
      </c>
      <c r="AL81" s="36">
        <v>6628.17</v>
      </c>
      <c r="AM81" s="36">
        <v>7802.04</v>
      </c>
      <c r="AN81" s="36">
        <v>581.29</v>
      </c>
      <c r="AO81" s="36">
        <v>3535.81</v>
      </c>
      <c r="AP81" s="35">
        <v>447.23</v>
      </c>
      <c r="AQ81" s="36">
        <v>198.16</v>
      </c>
      <c r="AR81" s="35">
        <v>96.12</v>
      </c>
      <c r="AS81" s="36">
        <v>1420.13</v>
      </c>
      <c r="AT81" s="35">
        <v>141.38</v>
      </c>
      <c r="AU81" s="96">
        <v>60093.39</v>
      </c>
      <c r="AV81" s="126">
        <v>7894.19</v>
      </c>
      <c r="AW81" s="69">
        <v>4427.66</v>
      </c>
      <c r="AX81" s="36">
        <v>430.69</v>
      </c>
      <c r="AY81" s="36">
        <v>4993.4399999999996</v>
      </c>
      <c r="AZ81" s="35">
        <v>490.59</v>
      </c>
      <c r="BA81" s="36">
        <v>2146.0500000000002</v>
      </c>
      <c r="BB81" s="35">
        <v>297.42</v>
      </c>
      <c r="BC81" s="36">
        <v>82.76</v>
      </c>
      <c r="BD81" s="35">
        <v>23.64</v>
      </c>
      <c r="BE81" s="96">
        <v>11649.91</v>
      </c>
      <c r="BF81" s="126">
        <v>1242.33</v>
      </c>
      <c r="BG81" s="69">
        <v>19502.150000000001</v>
      </c>
      <c r="BH81" s="171">
        <v>1053.79</v>
      </c>
      <c r="BI81" s="153">
        <v>141206.79999999999</v>
      </c>
      <c r="BJ81" s="187">
        <v>17797.45</v>
      </c>
    </row>
    <row r="82" spans="1:62" x14ac:dyDescent="0.25">
      <c r="A82" s="354"/>
      <c r="B82" s="355"/>
      <c r="C82" s="30">
        <v>3</v>
      </c>
      <c r="D82" s="242">
        <v>75</v>
      </c>
      <c r="E82" s="117">
        <v>8937.9699999999993</v>
      </c>
      <c r="F82" s="31">
        <v>2364.34</v>
      </c>
      <c r="G82" s="33">
        <v>13.67</v>
      </c>
      <c r="H82" s="33">
        <v>7.42</v>
      </c>
      <c r="I82" s="35">
        <v>1.02</v>
      </c>
      <c r="J82" s="35">
        <v>0.56999999999999995</v>
      </c>
      <c r="K82" s="35">
        <v>70.3</v>
      </c>
      <c r="L82" s="35">
        <v>34.47</v>
      </c>
      <c r="M82" s="36">
        <v>9839.49</v>
      </c>
      <c r="N82" s="36">
        <v>2952.4</v>
      </c>
      <c r="O82" s="96">
        <v>18862.439999999999</v>
      </c>
      <c r="P82" s="126">
        <v>5359.2</v>
      </c>
      <c r="Q82" s="69">
        <v>5787.22</v>
      </c>
      <c r="R82" s="36">
        <v>1024.98</v>
      </c>
      <c r="S82" s="36">
        <v>22.21</v>
      </c>
      <c r="T82" s="36">
        <v>16.329999999999998</v>
      </c>
      <c r="U82" s="35">
        <v>620.98</v>
      </c>
      <c r="V82" s="35">
        <v>116.86</v>
      </c>
      <c r="W82" s="35">
        <v>0.19</v>
      </c>
      <c r="X82" s="35">
        <v>0.12</v>
      </c>
      <c r="Y82" s="96">
        <v>6430.58</v>
      </c>
      <c r="Z82" s="126">
        <v>1158.29</v>
      </c>
      <c r="AA82" s="69">
        <v>16474.349999999999</v>
      </c>
      <c r="AB82" s="36">
        <v>542.66999999999996</v>
      </c>
      <c r="AC82" s="36">
        <v>5553.05</v>
      </c>
      <c r="AD82" s="35">
        <v>771.23</v>
      </c>
      <c r="AE82" s="36">
        <v>5384.55</v>
      </c>
      <c r="AF82" s="35">
        <v>429.94</v>
      </c>
      <c r="AG82" s="36">
        <v>474.88</v>
      </c>
      <c r="AH82" s="35">
        <v>98</v>
      </c>
      <c r="AI82" s="96">
        <v>27886.83</v>
      </c>
      <c r="AJ82" s="126">
        <v>1841.83</v>
      </c>
      <c r="AK82" s="69">
        <v>51704.01</v>
      </c>
      <c r="AL82" s="36">
        <v>7308.42</v>
      </c>
      <c r="AM82" s="36">
        <v>7141.97</v>
      </c>
      <c r="AN82" s="36">
        <v>522.62</v>
      </c>
      <c r="AO82" s="36">
        <v>3877.07</v>
      </c>
      <c r="AP82" s="35">
        <v>517.82000000000005</v>
      </c>
      <c r="AQ82" s="36">
        <v>183.18</v>
      </c>
      <c r="AR82" s="35">
        <v>82.21</v>
      </c>
      <c r="AS82" s="36">
        <v>1608.3</v>
      </c>
      <c r="AT82" s="35">
        <v>153.80000000000001</v>
      </c>
      <c r="AU82" s="96">
        <v>64514.53</v>
      </c>
      <c r="AV82" s="126">
        <v>8584.86</v>
      </c>
      <c r="AW82" s="69">
        <v>5491.88</v>
      </c>
      <c r="AX82" s="36">
        <v>529.86</v>
      </c>
      <c r="AY82" s="36">
        <v>5554.38</v>
      </c>
      <c r="AZ82" s="35">
        <v>564.66</v>
      </c>
      <c r="BA82" s="36">
        <v>1907.37</v>
      </c>
      <c r="BB82" s="35">
        <v>274.5</v>
      </c>
      <c r="BC82" s="36">
        <v>118.37</v>
      </c>
      <c r="BD82" s="35">
        <v>29.28</v>
      </c>
      <c r="BE82" s="96">
        <v>13072</v>
      </c>
      <c r="BF82" s="126">
        <v>1398.3</v>
      </c>
      <c r="BG82" s="69">
        <v>26506.13</v>
      </c>
      <c r="BH82" s="171">
        <v>1402.19</v>
      </c>
      <c r="BI82" s="153">
        <v>157272.5</v>
      </c>
      <c r="BJ82" s="187">
        <v>19744.669999999998</v>
      </c>
    </row>
    <row r="83" spans="1:62" x14ac:dyDescent="0.25">
      <c r="A83" s="354"/>
      <c r="B83" s="355"/>
      <c r="C83" s="30">
        <v>4</v>
      </c>
      <c r="D83" s="242">
        <v>76</v>
      </c>
      <c r="E83" s="117">
        <v>6822.46</v>
      </c>
      <c r="F83" s="31">
        <v>1775.95</v>
      </c>
      <c r="G83" s="33">
        <v>34.93</v>
      </c>
      <c r="H83" s="33">
        <v>14.84</v>
      </c>
      <c r="I83" s="35">
        <v>0.35</v>
      </c>
      <c r="J83" s="35">
        <v>0.15</v>
      </c>
      <c r="K83" s="35">
        <v>39.56</v>
      </c>
      <c r="L83" s="35">
        <v>26.83</v>
      </c>
      <c r="M83" s="36">
        <v>8597.75</v>
      </c>
      <c r="N83" s="36">
        <v>2553.5300000000002</v>
      </c>
      <c r="O83" s="96">
        <v>15495.06</v>
      </c>
      <c r="P83" s="126">
        <v>4371.3</v>
      </c>
      <c r="Q83" s="69">
        <v>4789.58</v>
      </c>
      <c r="R83" s="36">
        <v>813.79</v>
      </c>
      <c r="S83" s="36">
        <v>30.76</v>
      </c>
      <c r="T83" s="35">
        <v>20.23</v>
      </c>
      <c r="U83" s="35">
        <v>465.2</v>
      </c>
      <c r="V83" s="35">
        <v>90.12</v>
      </c>
      <c r="W83" s="35">
        <v>0.01</v>
      </c>
      <c r="X83" s="35">
        <v>0</v>
      </c>
      <c r="Y83" s="96">
        <v>5285.55</v>
      </c>
      <c r="Z83" s="127">
        <v>924.13</v>
      </c>
      <c r="AA83" s="69">
        <v>14531.49</v>
      </c>
      <c r="AB83" s="35">
        <v>482.58</v>
      </c>
      <c r="AC83" s="36">
        <v>5038.38</v>
      </c>
      <c r="AD83" s="35">
        <v>651.75</v>
      </c>
      <c r="AE83" s="36">
        <v>5669.39</v>
      </c>
      <c r="AF83" s="35">
        <v>357.71</v>
      </c>
      <c r="AG83" s="36">
        <v>13452.27</v>
      </c>
      <c r="AH83" s="35">
        <v>83.2</v>
      </c>
      <c r="AI83" s="96">
        <v>38691.53</v>
      </c>
      <c r="AJ83" s="126">
        <v>1575.24</v>
      </c>
      <c r="AK83" s="69">
        <v>41876.86</v>
      </c>
      <c r="AL83" s="36">
        <v>6036.45</v>
      </c>
      <c r="AM83" s="36">
        <v>7630.33</v>
      </c>
      <c r="AN83" s="36">
        <v>581.02</v>
      </c>
      <c r="AO83" s="36">
        <v>4046.99</v>
      </c>
      <c r="AP83" s="35">
        <v>499.21</v>
      </c>
      <c r="AQ83" s="36">
        <v>135.24</v>
      </c>
      <c r="AR83" s="35">
        <v>58.8</v>
      </c>
      <c r="AS83" s="36">
        <v>1493.14</v>
      </c>
      <c r="AT83" s="35">
        <v>138.62</v>
      </c>
      <c r="AU83" s="96">
        <v>55182.57</v>
      </c>
      <c r="AV83" s="126">
        <v>7314.1</v>
      </c>
      <c r="AW83" s="69">
        <v>4974.6000000000004</v>
      </c>
      <c r="AX83" s="36">
        <v>481.38</v>
      </c>
      <c r="AY83" s="36">
        <v>4729.82</v>
      </c>
      <c r="AZ83" s="35">
        <v>471.83</v>
      </c>
      <c r="BA83" s="36">
        <v>466.59</v>
      </c>
      <c r="BB83" s="35">
        <v>52.32</v>
      </c>
      <c r="BC83" s="35">
        <v>49.71</v>
      </c>
      <c r="BD83" s="35">
        <v>10.66</v>
      </c>
      <c r="BE83" s="96">
        <v>10220.719999999999</v>
      </c>
      <c r="BF83" s="126">
        <v>1016.2</v>
      </c>
      <c r="BG83" s="69">
        <v>26932.32</v>
      </c>
      <c r="BH83" s="171">
        <v>1377.65</v>
      </c>
      <c r="BI83" s="153">
        <v>151807.75</v>
      </c>
      <c r="BJ83" s="187">
        <v>16578.63</v>
      </c>
    </row>
    <row r="84" spans="1:62" x14ac:dyDescent="0.25">
      <c r="A84" s="354"/>
      <c r="B84" s="355"/>
      <c r="C84" s="30">
        <v>5</v>
      </c>
      <c r="D84" s="242">
        <v>77</v>
      </c>
      <c r="E84" s="117">
        <v>8171.54</v>
      </c>
      <c r="F84" s="31">
        <v>2283.98</v>
      </c>
      <c r="G84" s="33">
        <v>33.159999999999997</v>
      </c>
      <c r="H84" s="33">
        <v>12.32</v>
      </c>
      <c r="I84" s="35">
        <v>1.25</v>
      </c>
      <c r="J84" s="35">
        <v>0.37</v>
      </c>
      <c r="K84" s="35">
        <v>87.9</v>
      </c>
      <c r="L84" s="35">
        <v>30.84</v>
      </c>
      <c r="M84" s="36">
        <v>9463.0400000000009</v>
      </c>
      <c r="N84" s="36">
        <v>2951.9</v>
      </c>
      <c r="O84" s="96">
        <v>17756.88</v>
      </c>
      <c r="P84" s="126">
        <v>5279.4</v>
      </c>
      <c r="Q84" s="69">
        <v>5432.73</v>
      </c>
      <c r="R84" s="36">
        <v>897.61</v>
      </c>
      <c r="S84" s="36">
        <v>70.540000000000006</v>
      </c>
      <c r="T84" s="35">
        <v>35.68</v>
      </c>
      <c r="U84" s="35">
        <v>616.41999999999996</v>
      </c>
      <c r="V84" s="35">
        <v>108.92</v>
      </c>
      <c r="W84" s="35">
        <v>0</v>
      </c>
      <c r="X84" s="35">
        <v>0</v>
      </c>
      <c r="Y84" s="96">
        <v>6119.7</v>
      </c>
      <c r="Z84" s="126">
        <v>1042.22</v>
      </c>
      <c r="AA84" s="69">
        <v>17911.5</v>
      </c>
      <c r="AB84" s="36">
        <v>597.35</v>
      </c>
      <c r="AC84" s="36">
        <v>5895.39</v>
      </c>
      <c r="AD84" s="35">
        <v>771.44</v>
      </c>
      <c r="AE84" s="36">
        <v>4600.5600000000004</v>
      </c>
      <c r="AF84" s="35">
        <v>356.07</v>
      </c>
      <c r="AG84" s="36">
        <v>364.03</v>
      </c>
      <c r="AH84" s="35">
        <v>83.05</v>
      </c>
      <c r="AI84" s="96">
        <v>28771.47</v>
      </c>
      <c r="AJ84" s="126">
        <v>1807.91</v>
      </c>
      <c r="AK84" s="69">
        <v>45172.61</v>
      </c>
      <c r="AL84" s="36">
        <v>6364.91</v>
      </c>
      <c r="AM84" s="36">
        <v>9465.9699999999993</v>
      </c>
      <c r="AN84" s="36">
        <v>674.14</v>
      </c>
      <c r="AO84" s="36">
        <v>4122.79</v>
      </c>
      <c r="AP84" s="35">
        <v>475.34</v>
      </c>
      <c r="AQ84" s="36">
        <v>112.67</v>
      </c>
      <c r="AR84" s="35">
        <v>48.32</v>
      </c>
      <c r="AS84" s="36">
        <v>1471.61</v>
      </c>
      <c r="AT84" s="35">
        <v>145.75</v>
      </c>
      <c r="AU84" s="96">
        <v>60345.65</v>
      </c>
      <c r="AV84" s="126">
        <v>7708.46</v>
      </c>
      <c r="AW84" s="69">
        <v>4841.03</v>
      </c>
      <c r="AX84" s="36">
        <v>449.16</v>
      </c>
      <c r="AY84" s="36">
        <v>5962.3</v>
      </c>
      <c r="AZ84" s="35">
        <v>576.87</v>
      </c>
      <c r="BA84" s="36">
        <v>526.15</v>
      </c>
      <c r="BB84" s="35">
        <v>67.28</v>
      </c>
      <c r="BC84" s="35">
        <v>54.18</v>
      </c>
      <c r="BD84" s="35">
        <v>10.17</v>
      </c>
      <c r="BE84" s="96">
        <v>11383.66</v>
      </c>
      <c r="BF84" s="126">
        <v>1103.48</v>
      </c>
      <c r="BG84" s="69">
        <v>36141.019999999997</v>
      </c>
      <c r="BH84" s="171">
        <v>1803.31</v>
      </c>
      <c r="BI84" s="153">
        <v>160518.35999999999</v>
      </c>
      <c r="BJ84" s="187">
        <v>18744.78</v>
      </c>
    </row>
    <row r="85" spans="1:62" x14ac:dyDescent="0.25">
      <c r="A85" s="354"/>
      <c r="B85" s="355"/>
      <c r="C85" s="30">
        <v>6</v>
      </c>
      <c r="D85" s="242">
        <v>78</v>
      </c>
      <c r="E85" s="117">
        <v>6571.21</v>
      </c>
      <c r="F85" s="31">
        <v>1962.4</v>
      </c>
      <c r="G85" s="33">
        <v>16.440000000000001</v>
      </c>
      <c r="H85" s="37">
        <v>7.03</v>
      </c>
      <c r="I85" s="35">
        <v>7.0000000000000007E-2</v>
      </c>
      <c r="J85" s="35">
        <v>0.02</v>
      </c>
      <c r="K85" s="35">
        <v>63.84</v>
      </c>
      <c r="L85" s="35">
        <v>28.33</v>
      </c>
      <c r="M85" s="36">
        <v>8052.33</v>
      </c>
      <c r="N85" s="36">
        <v>2608.56</v>
      </c>
      <c r="O85" s="96">
        <v>14703.89</v>
      </c>
      <c r="P85" s="126">
        <v>4606.3500000000004</v>
      </c>
      <c r="Q85" s="69">
        <v>4872.21</v>
      </c>
      <c r="R85" s="36">
        <v>834.05</v>
      </c>
      <c r="S85" s="36">
        <v>47.1</v>
      </c>
      <c r="T85" s="35">
        <v>18.48</v>
      </c>
      <c r="U85" s="35">
        <v>565.29</v>
      </c>
      <c r="V85" s="35">
        <v>115.31</v>
      </c>
      <c r="W85" s="35">
        <v>0.41</v>
      </c>
      <c r="X85" s="35">
        <v>0.05</v>
      </c>
      <c r="Y85" s="96">
        <v>5485.01</v>
      </c>
      <c r="Z85" s="127">
        <v>967.88</v>
      </c>
      <c r="AA85" s="69">
        <v>12624.76</v>
      </c>
      <c r="AB85" s="35">
        <v>440.57</v>
      </c>
      <c r="AC85" s="36">
        <v>5524.19</v>
      </c>
      <c r="AD85" s="35">
        <v>722.73</v>
      </c>
      <c r="AE85" s="36">
        <v>5757.09</v>
      </c>
      <c r="AF85" s="35">
        <v>347.38</v>
      </c>
      <c r="AG85" s="36">
        <v>308.01</v>
      </c>
      <c r="AH85" s="35">
        <v>76.2</v>
      </c>
      <c r="AI85" s="96">
        <v>24214.04</v>
      </c>
      <c r="AJ85" s="126">
        <v>1586.88</v>
      </c>
      <c r="AK85" s="69">
        <v>45856.7</v>
      </c>
      <c r="AL85" s="36">
        <v>6709.66</v>
      </c>
      <c r="AM85" s="36">
        <v>9603.74</v>
      </c>
      <c r="AN85" s="36">
        <v>666.77</v>
      </c>
      <c r="AO85" s="36">
        <v>3835.61</v>
      </c>
      <c r="AP85" s="35">
        <v>493.77</v>
      </c>
      <c r="AQ85" s="36">
        <v>184.2</v>
      </c>
      <c r="AR85" s="35">
        <v>100.67</v>
      </c>
      <c r="AS85" s="36">
        <v>1928.38</v>
      </c>
      <c r="AT85" s="35">
        <v>189.17</v>
      </c>
      <c r="AU85" s="96">
        <v>61408.63</v>
      </c>
      <c r="AV85" s="126">
        <v>8160.04</v>
      </c>
      <c r="AW85" s="69">
        <v>4670.7299999999996</v>
      </c>
      <c r="AX85" s="36">
        <v>447.57</v>
      </c>
      <c r="AY85" s="36">
        <v>5349.04</v>
      </c>
      <c r="AZ85" s="35">
        <v>553.53</v>
      </c>
      <c r="BA85" s="36">
        <v>336.38</v>
      </c>
      <c r="BB85" s="35">
        <v>46.07</v>
      </c>
      <c r="BC85" s="35">
        <v>109.1</v>
      </c>
      <c r="BD85" s="35">
        <v>28.85</v>
      </c>
      <c r="BE85" s="96">
        <v>10465.24</v>
      </c>
      <c r="BF85" s="126">
        <v>1076.03</v>
      </c>
      <c r="BG85" s="69">
        <v>27112.34</v>
      </c>
      <c r="BH85" s="171">
        <v>1509.71</v>
      </c>
      <c r="BI85" s="153">
        <v>143389.14000000001</v>
      </c>
      <c r="BJ85" s="187">
        <v>17906.89</v>
      </c>
    </row>
    <row r="86" spans="1:62" x14ac:dyDescent="0.25">
      <c r="A86" s="354"/>
      <c r="B86" s="355"/>
      <c r="C86" s="30">
        <v>7</v>
      </c>
      <c r="D86" s="242">
        <v>79</v>
      </c>
      <c r="E86" s="235">
        <v>0</v>
      </c>
      <c r="F86" s="31">
        <v>0</v>
      </c>
      <c r="G86" s="37">
        <v>0</v>
      </c>
      <c r="H86" s="33">
        <v>0</v>
      </c>
      <c r="I86" s="35">
        <v>0</v>
      </c>
      <c r="J86" s="35">
        <v>0</v>
      </c>
      <c r="K86" s="35">
        <v>0</v>
      </c>
      <c r="L86" s="35">
        <v>0</v>
      </c>
      <c r="M86" s="39">
        <v>0</v>
      </c>
      <c r="N86" s="35">
        <v>0</v>
      </c>
      <c r="O86" s="97">
        <v>0</v>
      </c>
      <c r="P86" s="127">
        <v>0</v>
      </c>
      <c r="Q86" s="34">
        <v>0</v>
      </c>
      <c r="R86" s="35">
        <v>0</v>
      </c>
      <c r="S86" s="35">
        <v>0</v>
      </c>
      <c r="T86" s="35">
        <v>0</v>
      </c>
      <c r="U86" s="35">
        <v>0</v>
      </c>
      <c r="V86" s="35">
        <v>0</v>
      </c>
      <c r="W86" s="35">
        <v>0</v>
      </c>
      <c r="X86" s="35">
        <v>0</v>
      </c>
      <c r="Y86" s="97">
        <v>0</v>
      </c>
      <c r="Z86" s="127">
        <v>0</v>
      </c>
      <c r="AA86" s="34">
        <v>0</v>
      </c>
      <c r="AB86" s="35">
        <v>0</v>
      </c>
      <c r="AC86" s="35">
        <v>0</v>
      </c>
      <c r="AD86" s="35">
        <v>0</v>
      </c>
      <c r="AE86" s="35">
        <v>0</v>
      </c>
      <c r="AF86" s="35">
        <v>0</v>
      </c>
      <c r="AG86" s="35">
        <v>0</v>
      </c>
      <c r="AH86" s="35">
        <v>0</v>
      </c>
      <c r="AI86" s="97">
        <v>0</v>
      </c>
      <c r="AJ86" s="127">
        <v>0</v>
      </c>
      <c r="AK86" s="34">
        <v>0</v>
      </c>
      <c r="AL86" s="35">
        <v>0</v>
      </c>
      <c r="AM86" s="35">
        <v>0</v>
      </c>
      <c r="AN86" s="35">
        <v>0</v>
      </c>
      <c r="AO86" s="35">
        <v>0</v>
      </c>
      <c r="AP86" s="35">
        <v>0</v>
      </c>
      <c r="AQ86" s="35">
        <v>0</v>
      </c>
      <c r="AR86" s="35">
        <v>0</v>
      </c>
      <c r="AS86" s="35">
        <v>0</v>
      </c>
      <c r="AT86" s="35">
        <v>0</v>
      </c>
      <c r="AU86" s="97">
        <v>0</v>
      </c>
      <c r="AV86" s="127">
        <v>0</v>
      </c>
      <c r="AW86" s="34">
        <v>0</v>
      </c>
      <c r="AX86" s="35">
        <v>0</v>
      </c>
      <c r="AY86" s="35">
        <v>0</v>
      </c>
      <c r="AZ86" s="35">
        <v>0</v>
      </c>
      <c r="BA86" s="35">
        <v>0</v>
      </c>
      <c r="BB86" s="35">
        <v>0</v>
      </c>
      <c r="BC86" s="35">
        <v>0</v>
      </c>
      <c r="BD86" s="35">
        <v>0</v>
      </c>
      <c r="BE86" s="97">
        <v>0</v>
      </c>
      <c r="BF86" s="127">
        <v>0</v>
      </c>
      <c r="BG86" s="34">
        <v>0</v>
      </c>
      <c r="BH86" s="172">
        <v>0</v>
      </c>
      <c r="BI86" s="154">
        <v>0</v>
      </c>
      <c r="BJ86" s="188">
        <v>0</v>
      </c>
    </row>
    <row r="87" spans="1:62" x14ac:dyDescent="0.25">
      <c r="A87" s="354"/>
      <c r="B87" s="355"/>
      <c r="C87" s="30">
        <v>8</v>
      </c>
      <c r="D87" s="242">
        <v>80</v>
      </c>
      <c r="E87" s="117">
        <v>8434.99</v>
      </c>
      <c r="F87" s="31">
        <v>2727.59</v>
      </c>
      <c r="G87" s="33">
        <v>25.53</v>
      </c>
      <c r="H87" s="33">
        <v>16.43</v>
      </c>
      <c r="I87" s="35">
        <v>14.41</v>
      </c>
      <c r="J87" s="35">
        <v>1.1200000000000001</v>
      </c>
      <c r="K87" s="35">
        <v>62.51</v>
      </c>
      <c r="L87" s="35">
        <v>40.72</v>
      </c>
      <c r="M87" s="36">
        <v>10350.89</v>
      </c>
      <c r="N87" s="36">
        <v>3891.14</v>
      </c>
      <c r="O87" s="96">
        <v>18888.330000000002</v>
      </c>
      <c r="P87" s="126">
        <v>6677</v>
      </c>
      <c r="Q87" s="69">
        <v>3784.48</v>
      </c>
      <c r="R87" s="36">
        <v>709.72</v>
      </c>
      <c r="S87" s="36">
        <v>64.62</v>
      </c>
      <c r="T87" s="35">
        <v>26.39</v>
      </c>
      <c r="U87" s="35">
        <v>698.77</v>
      </c>
      <c r="V87" s="35">
        <v>143.19999999999999</v>
      </c>
      <c r="W87" s="35">
        <v>4.8</v>
      </c>
      <c r="X87" s="35">
        <v>0.48</v>
      </c>
      <c r="Y87" s="96">
        <v>4552.66</v>
      </c>
      <c r="Z87" s="127">
        <v>879.79</v>
      </c>
      <c r="AA87" s="69">
        <v>12912.74</v>
      </c>
      <c r="AB87" s="35">
        <v>459.49</v>
      </c>
      <c r="AC87" s="36">
        <v>5304.94</v>
      </c>
      <c r="AD87" s="35">
        <v>673.51</v>
      </c>
      <c r="AE87" s="36">
        <v>7422.75</v>
      </c>
      <c r="AF87" s="35">
        <v>402.82</v>
      </c>
      <c r="AG87" s="36">
        <v>2820.46</v>
      </c>
      <c r="AH87" s="35">
        <v>74.06</v>
      </c>
      <c r="AI87" s="96">
        <v>28460.89</v>
      </c>
      <c r="AJ87" s="126">
        <v>1609.88</v>
      </c>
      <c r="AK87" s="69">
        <v>40240.42</v>
      </c>
      <c r="AL87" s="36">
        <v>6117.45</v>
      </c>
      <c r="AM87" s="36">
        <v>7757.39</v>
      </c>
      <c r="AN87" s="36">
        <v>603</v>
      </c>
      <c r="AO87" s="36">
        <v>4352.6400000000003</v>
      </c>
      <c r="AP87" s="35">
        <v>591.54</v>
      </c>
      <c r="AQ87" s="36">
        <v>352.19</v>
      </c>
      <c r="AR87" s="35">
        <v>160.71</v>
      </c>
      <c r="AS87" s="36">
        <v>1560.25</v>
      </c>
      <c r="AT87" s="35">
        <v>162.53</v>
      </c>
      <c r="AU87" s="96">
        <v>54262.87</v>
      </c>
      <c r="AV87" s="126">
        <v>7635.22</v>
      </c>
      <c r="AW87" s="69">
        <v>4898.51</v>
      </c>
      <c r="AX87" s="36">
        <v>486.56</v>
      </c>
      <c r="AY87" s="36">
        <v>6456.2</v>
      </c>
      <c r="AZ87" s="35">
        <v>667.77</v>
      </c>
      <c r="BA87" s="36">
        <v>747.25</v>
      </c>
      <c r="BB87" s="35">
        <v>120.23</v>
      </c>
      <c r="BC87" s="35">
        <v>68.040000000000006</v>
      </c>
      <c r="BD87" s="35">
        <v>9.73</v>
      </c>
      <c r="BE87" s="96">
        <v>12170</v>
      </c>
      <c r="BF87" s="126">
        <v>1284.3</v>
      </c>
      <c r="BG87" s="69">
        <v>23910.5</v>
      </c>
      <c r="BH87" s="171">
        <v>1335.12</v>
      </c>
      <c r="BI87" s="153">
        <v>142245.25</v>
      </c>
      <c r="BJ87" s="187">
        <v>19421.3</v>
      </c>
    </row>
    <row r="88" spans="1:62" x14ac:dyDescent="0.25">
      <c r="A88" s="354"/>
      <c r="B88" s="355"/>
      <c r="C88" s="30">
        <v>9</v>
      </c>
      <c r="D88" s="242">
        <v>81</v>
      </c>
      <c r="E88" s="117">
        <v>9140.56</v>
      </c>
      <c r="F88" s="31">
        <v>3072.48</v>
      </c>
      <c r="G88" s="33">
        <v>45.85</v>
      </c>
      <c r="H88" s="33">
        <v>15.43</v>
      </c>
      <c r="I88" s="35">
        <v>47.02</v>
      </c>
      <c r="J88" s="35">
        <v>1.59</v>
      </c>
      <c r="K88" s="35">
        <v>90.16</v>
      </c>
      <c r="L88" s="35">
        <v>50.67</v>
      </c>
      <c r="M88" s="36">
        <v>9777.09</v>
      </c>
      <c r="N88" s="36">
        <v>3828.33</v>
      </c>
      <c r="O88" s="96">
        <v>19100.68</v>
      </c>
      <c r="P88" s="126">
        <v>6968.49</v>
      </c>
      <c r="Q88" s="69">
        <v>4529.97</v>
      </c>
      <c r="R88" s="36">
        <v>788.18</v>
      </c>
      <c r="S88" s="36">
        <v>130.82</v>
      </c>
      <c r="T88" s="35">
        <v>50</v>
      </c>
      <c r="U88" s="35">
        <v>713.01</v>
      </c>
      <c r="V88" s="35">
        <v>147.29</v>
      </c>
      <c r="W88" s="35">
        <v>1.56</v>
      </c>
      <c r="X88" s="35">
        <v>0.31</v>
      </c>
      <c r="Y88" s="96">
        <v>5375.36</v>
      </c>
      <c r="Z88" s="127">
        <v>985.77</v>
      </c>
      <c r="AA88" s="69">
        <v>11011.97</v>
      </c>
      <c r="AB88" s="35">
        <v>346.23</v>
      </c>
      <c r="AC88" s="36">
        <v>5834.13</v>
      </c>
      <c r="AD88" s="35">
        <v>786.47</v>
      </c>
      <c r="AE88" s="36">
        <v>9406.94</v>
      </c>
      <c r="AF88" s="35">
        <v>504.85</v>
      </c>
      <c r="AG88" s="36">
        <v>365.63</v>
      </c>
      <c r="AH88" s="35">
        <v>84.36</v>
      </c>
      <c r="AI88" s="96">
        <v>26618.67</v>
      </c>
      <c r="AJ88" s="126">
        <v>1721.9</v>
      </c>
      <c r="AK88" s="69">
        <v>43534.39</v>
      </c>
      <c r="AL88" s="36">
        <v>6405.9</v>
      </c>
      <c r="AM88" s="36">
        <v>7355.9</v>
      </c>
      <c r="AN88" s="36">
        <v>531.02</v>
      </c>
      <c r="AO88" s="36">
        <v>3530.85</v>
      </c>
      <c r="AP88" s="35">
        <v>435.61</v>
      </c>
      <c r="AQ88" s="36">
        <v>244.83</v>
      </c>
      <c r="AR88" s="35">
        <v>86.13</v>
      </c>
      <c r="AS88" s="36">
        <v>1786.74</v>
      </c>
      <c r="AT88" s="35">
        <v>190.92</v>
      </c>
      <c r="AU88" s="96">
        <v>56452.71</v>
      </c>
      <c r="AV88" s="126">
        <v>7649.58</v>
      </c>
      <c r="AW88" s="69">
        <v>4864.6099999999997</v>
      </c>
      <c r="AX88" s="36">
        <v>514.67999999999995</v>
      </c>
      <c r="AY88" s="36">
        <v>5456.33</v>
      </c>
      <c r="AZ88" s="35">
        <v>612.21</v>
      </c>
      <c r="BA88" s="36">
        <v>1490.07</v>
      </c>
      <c r="BB88" s="35">
        <v>205.11</v>
      </c>
      <c r="BC88" s="36">
        <v>121.49</v>
      </c>
      <c r="BD88" s="35">
        <v>33.81</v>
      </c>
      <c r="BE88" s="96">
        <v>11932.49</v>
      </c>
      <c r="BF88" s="126">
        <v>1365.81</v>
      </c>
      <c r="BG88" s="69">
        <v>19127.080000000002</v>
      </c>
      <c r="BH88" s="171">
        <v>1196.3399999999999</v>
      </c>
      <c r="BI88" s="153">
        <v>138606.98000000001</v>
      </c>
      <c r="BJ88" s="187">
        <v>19887.89</v>
      </c>
    </row>
    <row r="89" spans="1:62" x14ac:dyDescent="0.25">
      <c r="A89" s="354"/>
      <c r="B89" s="355"/>
      <c r="C89" s="30">
        <v>10</v>
      </c>
      <c r="D89" s="242">
        <v>82</v>
      </c>
      <c r="E89" s="117">
        <v>8988.2199999999993</v>
      </c>
      <c r="F89" s="31">
        <v>3230.37</v>
      </c>
      <c r="G89" s="33">
        <v>40.340000000000003</v>
      </c>
      <c r="H89" s="33">
        <v>21.46</v>
      </c>
      <c r="I89" s="35">
        <v>0.12</v>
      </c>
      <c r="J89" s="35">
        <v>0.08</v>
      </c>
      <c r="K89" s="35">
        <v>65.849999999999994</v>
      </c>
      <c r="L89" s="35">
        <v>33.85</v>
      </c>
      <c r="M89" s="36">
        <v>11093.53</v>
      </c>
      <c r="N89" s="36">
        <v>4432.22</v>
      </c>
      <c r="O89" s="96">
        <v>20188.060000000001</v>
      </c>
      <c r="P89" s="126">
        <v>7717.97</v>
      </c>
      <c r="Q89" s="69">
        <v>5263.5</v>
      </c>
      <c r="R89" s="36">
        <v>974.83</v>
      </c>
      <c r="S89" s="36">
        <v>104.96</v>
      </c>
      <c r="T89" s="35">
        <v>59.91</v>
      </c>
      <c r="U89" s="35">
        <v>730.37</v>
      </c>
      <c r="V89" s="35">
        <v>150.03</v>
      </c>
      <c r="W89" s="35">
        <v>0.64</v>
      </c>
      <c r="X89" s="35">
        <v>0.15</v>
      </c>
      <c r="Y89" s="96">
        <v>6099.47</v>
      </c>
      <c r="Z89" s="126">
        <v>1184.92</v>
      </c>
      <c r="AA89" s="69">
        <v>13089.39</v>
      </c>
      <c r="AB89" s="36">
        <v>457.49</v>
      </c>
      <c r="AC89" s="36">
        <v>6151.73</v>
      </c>
      <c r="AD89" s="35">
        <v>815.69</v>
      </c>
      <c r="AE89" s="36">
        <v>7328.53</v>
      </c>
      <c r="AF89" s="35">
        <v>386.43</v>
      </c>
      <c r="AG89" s="36">
        <v>332.09</v>
      </c>
      <c r="AH89" s="35">
        <v>84.6</v>
      </c>
      <c r="AI89" s="96">
        <v>26901.73</v>
      </c>
      <c r="AJ89" s="126">
        <v>1744.21</v>
      </c>
      <c r="AK89" s="69">
        <v>45860.72</v>
      </c>
      <c r="AL89" s="36">
        <v>6619.22</v>
      </c>
      <c r="AM89" s="36">
        <v>6278.81</v>
      </c>
      <c r="AN89" s="36">
        <v>470.07</v>
      </c>
      <c r="AO89" s="36">
        <v>4186.16</v>
      </c>
      <c r="AP89" s="35">
        <v>600.87</v>
      </c>
      <c r="AQ89" s="36">
        <v>278.55</v>
      </c>
      <c r="AR89" s="35">
        <v>116.98</v>
      </c>
      <c r="AS89" s="36">
        <v>2588.23</v>
      </c>
      <c r="AT89" s="35">
        <v>261.92</v>
      </c>
      <c r="AU89" s="96">
        <v>59192.47</v>
      </c>
      <c r="AV89" s="126">
        <v>8069.06</v>
      </c>
      <c r="AW89" s="69">
        <v>6810.39</v>
      </c>
      <c r="AX89" s="36">
        <v>685.39</v>
      </c>
      <c r="AY89" s="36">
        <v>6431.77</v>
      </c>
      <c r="AZ89" s="35">
        <v>708.16</v>
      </c>
      <c r="BA89" s="36">
        <v>757.49</v>
      </c>
      <c r="BB89" s="35">
        <v>110.23</v>
      </c>
      <c r="BC89" s="35">
        <v>156.1</v>
      </c>
      <c r="BD89" s="35">
        <v>37.69</v>
      </c>
      <c r="BE89" s="96">
        <v>14155.76</v>
      </c>
      <c r="BF89" s="126">
        <v>1541.48</v>
      </c>
      <c r="BG89" s="69">
        <v>18916.3</v>
      </c>
      <c r="BH89" s="171">
        <v>1217.6400000000001</v>
      </c>
      <c r="BI89" s="153">
        <v>145453.76999999999</v>
      </c>
      <c r="BJ89" s="187">
        <v>21475.279999999999</v>
      </c>
    </row>
    <row r="90" spans="1:62" x14ac:dyDescent="0.25">
      <c r="A90" s="354"/>
      <c r="B90" s="355"/>
      <c r="C90" s="30">
        <v>11</v>
      </c>
      <c r="D90" s="242">
        <v>83</v>
      </c>
      <c r="E90" s="117">
        <v>7863.43</v>
      </c>
      <c r="F90" s="31">
        <v>2874.36</v>
      </c>
      <c r="G90" s="33">
        <v>35.97</v>
      </c>
      <c r="H90" s="33">
        <v>17.66</v>
      </c>
      <c r="I90" s="35">
        <v>0.27</v>
      </c>
      <c r="J90" s="35">
        <v>0.09</v>
      </c>
      <c r="K90" s="35">
        <v>106.83</v>
      </c>
      <c r="L90" s="35">
        <v>40.93</v>
      </c>
      <c r="M90" s="36">
        <v>10056.56</v>
      </c>
      <c r="N90" s="36">
        <v>4090.17</v>
      </c>
      <c r="O90" s="96">
        <v>18063.05</v>
      </c>
      <c r="P90" s="126">
        <v>7023.21</v>
      </c>
      <c r="Q90" s="69">
        <v>4781.91</v>
      </c>
      <c r="R90" s="36">
        <v>920.37</v>
      </c>
      <c r="S90" s="36">
        <v>121.21</v>
      </c>
      <c r="T90" s="35">
        <v>82.6</v>
      </c>
      <c r="U90" s="35">
        <v>722.16</v>
      </c>
      <c r="V90" s="35">
        <v>161.75</v>
      </c>
      <c r="W90" s="35">
        <v>0</v>
      </c>
      <c r="X90" s="35">
        <v>0</v>
      </c>
      <c r="Y90" s="96">
        <v>5625.28</v>
      </c>
      <c r="Z90" s="126">
        <v>1164.72</v>
      </c>
      <c r="AA90" s="69">
        <v>11613.05</v>
      </c>
      <c r="AB90" s="36">
        <v>375.84</v>
      </c>
      <c r="AC90" s="36">
        <v>6042.47</v>
      </c>
      <c r="AD90" s="35">
        <v>780.09</v>
      </c>
      <c r="AE90" s="36">
        <v>7261.95</v>
      </c>
      <c r="AF90" s="35">
        <v>340.75</v>
      </c>
      <c r="AG90" s="36">
        <v>333.48</v>
      </c>
      <c r="AH90" s="35">
        <v>73.31</v>
      </c>
      <c r="AI90" s="96">
        <v>25250.94</v>
      </c>
      <c r="AJ90" s="126">
        <v>1569.99</v>
      </c>
      <c r="AK90" s="69">
        <v>50342.06</v>
      </c>
      <c r="AL90" s="36">
        <v>7205.38</v>
      </c>
      <c r="AM90" s="36">
        <v>6143.43</v>
      </c>
      <c r="AN90" s="36">
        <v>467.84</v>
      </c>
      <c r="AO90" s="36">
        <v>4256.8900000000003</v>
      </c>
      <c r="AP90" s="35">
        <v>592.48</v>
      </c>
      <c r="AQ90" s="36">
        <v>272.92</v>
      </c>
      <c r="AR90" s="35">
        <v>119.41</v>
      </c>
      <c r="AS90" s="36">
        <v>1527.09</v>
      </c>
      <c r="AT90" s="35">
        <v>166.22</v>
      </c>
      <c r="AU90" s="96">
        <v>62542.39</v>
      </c>
      <c r="AV90" s="126">
        <v>8551.33</v>
      </c>
      <c r="AW90" s="69">
        <v>6644.81</v>
      </c>
      <c r="AX90" s="36">
        <v>680.65</v>
      </c>
      <c r="AY90" s="36">
        <v>7070.06</v>
      </c>
      <c r="AZ90" s="35">
        <v>802.48</v>
      </c>
      <c r="BA90" s="36">
        <v>2327.11</v>
      </c>
      <c r="BB90" s="35">
        <v>370.54</v>
      </c>
      <c r="BC90" s="36">
        <v>207.67</v>
      </c>
      <c r="BD90" s="35">
        <v>28.28</v>
      </c>
      <c r="BE90" s="96">
        <v>16249.65</v>
      </c>
      <c r="BF90" s="126">
        <v>1881.95</v>
      </c>
      <c r="BG90" s="69">
        <v>19941.650000000001</v>
      </c>
      <c r="BH90" s="171">
        <v>1250.6099999999999</v>
      </c>
      <c r="BI90" s="153">
        <v>147672.95999999999</v>
      </c>
      <c r="BJ90" s="187">
        <v>21441.81</v>
      </c>
    </row>
    <row r="91" spans="1:62" x14ac:dyDescent="0.25">
      <c r="A91" s="354"/>
      <c r="B91" s="355"/>
      <c r="C91" s="30">
        <v>12</v>
      </c>
      <c r="D91" s="242">
        <v>84</v>
      </c>
      <c r="E91" s="117">
        <v>5734.44</v>
      </c>
      <c r="F91" s="31">
        <v>2139.34</v>
      </c>
      <c r="G91" s="40">
        <v>47.1</v>
      </c>
      <c r="H91" s="40">
        <v>34.58</v>
      </c>
      <c r="I91" s="38">
        <v>0.42</v>
      </c>
      <c r="J91" s="38">
        <v>0.28000000000000003</v>
      </c>
      <c r="K91" s="38">
        <v>71.180000000000007</v>
      </c>
      <c r="L91" s="38">
        <v>44.35</v>
      </c>
      <c r="M91" s="31">
        <v>6876.66</v>
      </c>
      <c r="N91" s="31">
        <v>2808.8</v>
      </c>
      <c r="O91" s="98">
        <v>12729.8</v>
      </c>
      <c r="P91" s="128">
        <v>5027.3599999999997</v>
      </c>
      <c r="Q91" s="117">
        <v>4287.8</v>
      </c>
      <c r="R91" s="31">
        <v>783.38</v>
      </c>
      <c r="S91" s="31">
        <v>81.650000000000006</v>
      </c>
      <c r="T91" s="38">
        <v>37.56</v>
      </c>
      <c r="U91" s="38">
        <v>609.52</v>
      </c>
      <c r="V91" s="38">
        <v>131.04</v>
      </c>
      <c r="W91" s="38">
        <v>4.8</v>
      </c>
      <c r="X91" s="38">
        <v>0.49</v>
      </c>
      <c r="Y91" s="98">
        <v>4983.78</v>
      </c>
      <c r="Z91" s="140">
        <v>952.47</v>
      </c>
      <c r="AA91" s="117">
        <v>14891.68</v>
      </c>
      <c r="AB91" s="38">
        <v>568.34</v>
      </c>
      <c r="AC91" s="31">
        <v>4915.8999999999996</v>
      </c>
      <c r="AD91" s="38">
        <v>644.69000000000005</v>
      </c>
      <c r="AE91" s="31">
        <v>5830.05</v>
      </c>
      <c r="AF91" s="38">
        <v>275.54000000000002</v>
      </c>
      <c r="AG91" s="31">
        <v>347.4</v>
      </c>
      <c r="AH91" s="38">
        <v>81.180000000000007</v>
      </c>
      <c r="AI91" s="98">
        <v>25985.03</v>
      </c>
      <c r="AJ91" s="128">
        <v>1569.74</v>
      </c>
      <c r="AK91" s="117">
        <v>40655.97</v>
      </c>
      <c r="AL91" s="31">
        <v>5849.74</v>
      </c>
      <c r="AM91" s="31">
        <v>5509.66</v>
      </c>
      <c r="AN91" s="31">
        <v>415.9</v>
      </c>
      <c r="AO91" s="31">
        <v>3902.73</v>
      </c>
      <c r="AP91" s="38">
        <v>529.91999999999996</v>
      </c>
      <c r="AQ91" s="31">
        <v>239.94</v>
      </c>
      <c r="AR91" s="38">
        <v>107.1</v>
      </c>
      <c r="AS91" s="31">
        <v>1527.11</v>
      </c>
      <c r="AT91" s="38">
        <v>168.43</v>
      </c>
      <c r="AU91" s="98">
        <v>51835.41</v>
      </c>
      <c r="AV91" s="128">
        <v>7071.09</v>
      </c>
      <c r="AW91" s="117">
        <v>6239.9</v>
      </c>
      <c r="AX91" s="31">
        <v>658.22</v>
      </c>
      <c r="AY91" s="31">
        <v>5547.41</v>
      </c>
      <c r="AZ91" s="38">
        <v>662.48</v>
      </c>
      <c r="BA91" s="31">
        <v>1161.5899999999999</v>
      </c>
      <c r="BB91" s="38">
        <v>179.37</v>
      </c>
      <c r="BC91" s="31">
        <v>76.63</v>
      </c>
      <c r="BD91" s="38">
        <v>14.69</v>
      </c>
      <c r="BE91" s="98">
        <v>13025.53</v>
      </c>
      <c r="BF91" s="128">
        <v>1514.77</v>
      </c>
      <c r="BG91" s="117">
        <v>19803.53</v>
      </c>
      <c r="BH91" s="173">
        <v>1306.6099999999999</v>
      </c>
      <c r="BI91" s="155">
        <v>128363.07</v>
      </c>
      <c r="BJ91" s="189">
        <v>17442.05</v>
      </c>
    </row>
    <row r="92" spans="1:62" x14ac:dyDescent="0.25">
      <c r="A92" s="372">
        <v>2557</v>
      </c>
      <c r="B92" s="375">
        <v>2014</v>
      </c>
      <c r="C92" s="41">
        <v>1</v>
      </c>
      <c r="D92" s="243">
        <v>85</v>
      </c>
      <c r="E92" s="118">
        <v>5074.54</v>
      </c>
      <c r="F92" s="42">
        <v>1943.48</v>
      </c>
      <c r="G92" s="43">
        <v>65.52</v>
      </c>
      <c r="H92" s="43">
        <v>42.55</v>
      </c>
      <c r="I92" s="43">
        <v>0.71</v>
      </c>
      <c r="J92" s="43">
        <v>0.22</v>
      </c>
      <c r="K92" s="43">
        <v>67.87</v>
      </c>
      <c r="L92" s="43">
        <v>23.1</v>
      </c>
      <c r="M92" s="42">
        <v>5697.89</v>
      </c>
      <c r="N92" s="42">
        <v>2435.36</v>
      </c>
      <c r="O92" s="99">
        <v>10906.53</v>
      </c>
      <c r="P92" s="129">
        <v>4444.7</v>
      </c>
      <c r="Q92" s="118">
        <v>4315.42</v>
      </c>
      <c r="R92" s="43">
        <v>838.58</v>
      </c>
      <c r="S92" s="43">
        <v>68.11</v>
      </c>
      <c r="T92" s="43">
        <v>34.43</v>
      </c>
      <c r="U92" s="43">
        <v>511.66</v>
      </c>
      <c r="V92" s="43">
        <v>105.05</v>
      </c>
      <c r="W92" s="43">
        <v>0</v>
      </c>
      <c r="X92" s="43">
        <v>0</v>
      </c>
      <c r="Y92" s="99">
        <v>4895.1899999999996</v>
      </c>
      <c r="Z92" s="141">
        <v>978.06</v>
      </c>
      <c r="AA92" s="118">
        <v>15068.48</v>
      </c>
      <c r="AB92" s="43">
        <v>609.51</v>
      </c>
      <c r="AC92" s="42">
        <v>6327.81</v>
      </c>
      <c r="AD92" s="43">
        <v>884.76</v>
      </c>
      <c r="AE92" s="42">
        <v>5078.54</v>
      </c>
      <c r="AF92" s="43">
        <v>287.62</v>
      </c>
      <c r="AG92" s="43">
        <v>433.24</v>
      </c>
      <c r="AH92" s="43">
        <v>91.37</v>
      </c>
      <c r="AI92" s="99">
        <v>26908.06</v>
      </c>
      <c r="AJ92" s="129">
        <v>1873.27</v>
      </c>
      <c r="AK92" s="118">
        <v>47241.29</v>
      </c>
      <c r="AL92" s="42">
        <v>6579.48</v>
      </c>
      <c r="AM92" s="42">
        <v>6204.35</v>
      </c>
      <c r="AN92" s="43">
        <v>485.04</v>
      </c>
      <c r="AO92" s="42">
        <v>4570.6400000000003</v>
      </c>
      <c r="AP92" s="43">
        <v>593.97</v>
      </c>
      <c r="AQ92" s="43">
        <v>145.32</v>
      </c>
      <c r="AR92" s="43">
        <v>51.55</v>
      </c>
      <c r="AS92" s="42">
        <v>1626.33</v>
      </c>
      <c r="AT92" s="43">
        <v>175.88</v>
      </c>
      <c r="AU92" s="99">
        <v>59787.92</v>
      </c>
      <c r="AV92" s="129">
        <v>7885.92</v>
      </c>
      <c r="AW92" s="118">
        <v>5936.39</v>
      </c>
      <c r="AX92" s="43">
        <v>631.94000000000005</v>
      </c>
      <c r="AY92" s="42">
        <v>5718.81</v>
      </c>
      <c r="AZ92" s="43">
        <v>708.11</v>
      </c>
      <c r="BA92" s="43">
        <v>983.48</v>
      </c>
      <c r="BB92" s="43">
        <v>153.36000000000001</v>
      </c>
      <c r="BC92" s="43">
        <v>83.97</v>
      </c>
      <c r="BD92" s="43">
        <v>21.41</v>
      </c>
      <c r="BE92" s="99">
        <v>12722.66</v>
      </c>
      <c r="BF92" s="129">
        <v>1514.82</v>
      </c>
      <c r="BG92" s="118">
        <v>20264.259999999998</v>
      </c>
      <c r="BH92" s="174">
        <v>1404.07</v>
      </c>
      <c r="BI92" s="156">
        <v>135484.62</v>
      </c>
      <c r="BJ92" s="190">
        <v>18100.84</v>
      </c>
    </row>
    <row r="93" spans="1:62" x14ac:dyDescent="0.25">
      <c r="A93" s="373"/>
      <c r="B93" s="376"/>
      <c r="C93" s="41">
        <v>2</v>
      </c>
      <c r="D93" s="243">
        <v>86</v>
      </c>
      <c r="E93" s="118">
        <v>4925.41</v>
      </c>
      <c r="F93" s="42">
        <v>1911.68</v>
      </c>
      <c r="G93" s="43">
        <v>41.94</v>
      </c>
      <c r="H93" s="43">
        <v>23.99</v>
      </c>
      <c r="I93" s="43">
        <v>1.73</v>
      </c>
      <c r="J93" s="43">
        <v>1.26</v>
      </c>
      <c r="K93" s="43">
        <v>79.06</v>
      </c>
      <c r="L93" s="43">
        <v>27.85</v>
      </c>
      <c r="M93" s="42">
        <v>5003.68</v>
      </c>
      <c r="N93" s="42">
        <v>2119.29</v>
      </c>
      <c r="O93" s="99">
        <v>10051.81</v>
      </c>
      <c r="P93" s="129">
        <v>4084.08</v>
      </c>
      <c r="Q93" s="118">
        <v>5430.41</v>
      </c>
      <c r="R93" s="43">
        <v>982</v>
      </c>
      <c r="S93" s="43">
        <v>73</v>
      </c>
      <c r="T93" s="43">
        <v>38.909999999999997</v>
      </c>
      <c r="U93" s="43">
        <v>562.53</v>
      </c>
      <c r="V93" s="43">
        <v>122.95</v>
      </c>
      <c r="W93" s="43">
        <v>0.03</v>
      </c>
      <c r="X93" s="43">
        <v>0</v>
      </c>
      <c r="Y93" s="99">
        <v>6065.97</v>
      </c>
      <c r="Z93" s="129">
        <v>1143.8599999999999</v>
      </c>
      <c r="AA93" s="118">
        <v>15228.58</v>
      </c>
      <c r="AB93" s="43">
        <v>574.41</v>
      </c>
      <c r="AC93" s="42">
        <v>5454.96</v>
      </c>
      <c r="AD93" s="43">
        <v>744.01</v>
      </c>
      <c r="AE93" s="42">
        <v>5143.03</v>
      </c>
      <c r="AF93" s="43">
        <v>268.16000000000003</v>
      </c>
      <c r="AG93" s="43">
        <v>397.93</v>
      </c>
      <c r="AH93" s="43">
        <v>84.43</v>
      </c>
      <c r="AI93" s="99">
        <v>26224.5</v>
      </c>
      <c r="AJ93" s="129">
        <v>1671</v>
      </c>
      <c r="AK93" s="118">
        <v>44482.28</v>
      </c>
      <c r="AL93" s="42">
        <v>6190.87</v>
      </c>
      <c r="AM93" s="42">
        <v>6372.39</v>
      </c>
      <c r="AN93" s="43">
        <v>519.69000000000005</v>
      </c>
      <c r="AO93" s="42">
        <v>3491.22</v>
      </c>
      <c r="AP93" s="43">
        <v>472.87</v>
      </c>
      <c r="AQ93" s="43">
        <v>308.27999999999997</v>
      </c>
      <c r="AR93" s="43">
        <v>68.540000000000006</v>
      </c>
      <c r="AS93" s="42">
        <v>1396.68</v>
      </c>
      <c r="AT93" s="43">
        <v>153.13</v>
      </c>
      <c r="AU93" s="99">
        <v>56050.85</v>
      </c>
      <c r="AV93" s="129">
        <v>7405.09</v>
      </c>
      <c r="AW93" s="118">
        <v>5825.95</v>
      </c>
      <c r="AX93" s="43">
        <v>620.19000000000005</v>
      </c>
      <c r="AY93" s="42">
        <v>4993.66</v>
      </c>
      <c r="AZ93" s="43">
        <v>591.79</v>
      </c>
      <c r="BA93" s="43">
        <v>776.77</v>
      </c>
      <c r="BB93" s="43">
        <v>105.67</v>
      </c>
      <c r="BC93" s="43">
        <v>86.44</v>
      </c>
      <c r="BD93" s="43">
        <v>18.940000000000001</v>
      </c>
      <c r="BE93" s="99">
        <v>11682.81</v>
      </c>
      <c r="BF93" s="129">
        <v>1336.59</v>
      </c>
      <c r="BG93" s="118">
        <v>24201.51</v>
      </c>
      <c r="BH93" s="174">
        <v>1445.12</v>
      </c>
      <c r="BI93" s="156">
        <v>134277.44</v>
      </c>
      <c r="BJ93" s="190">
        <v>17085.73</v>
      </c>
    </row>
    <row r="94" spans="1:62" x14ac:dyDescent="0.25">
      <c r="A94" s="373"/>
      <c r="B94" s="376"/>
      <c r="C94" s="41">
        <v>3</v>
      </c>
      <c r="D94" s="243">
        <v>87</v>
      </c>
      <c r="E94" s="118">
        <v>5009.6000000000004</v>
      </c>
      <c r="F94" s="42">
        <v>1916.65</v>
      </c>
      <c r="G94" s="43">
        <v>78.39</v>
      </c>
      <c r="H94" s="43">
        <v>48.72</v>
      </c>
      <c r="I94" s="43">
        <v>0.43</v>
      </c>
      <c r="J94" s="43">
        <v>0.08</v>
      </c>
      <c r="K94" s="43">
        <v>66.97</v>
      </c>
      <c r="L94" s="43">
        <v>37.18</v>
      </c>
      <c r="M94" s="42">
        <v>5611.27</v>
      </c>
      <c r="N94" s="42">
        <v>2454.48</v>
      </c>
      <c r="O94" s="99">
        <v>10766.66</v>
      </c>
      <c r="P94" s="129">
        <v>4457.1099999999997</v>
      </c>
      <c r="Q94" s="118">
        <v>6222.33</v>
      </c>
      <c r="R94" s="42">
        <v>1140.8699999999999</v>
      </c>
      <c r="S94" s="43">
        <v>100.64</v>
      </c>
      <c r="T94" s="43">
        <v>43.23</v>
      </c>
      <c r="U94" s="43">
        <v>591.14</v>
      </c>
      <c r="V94" s="43">
        <v>128.71</v>
      </c>
      <c r="W94" s="43">
        <v>0.09</v>
      </c>
      <c r="X94" s="43">
        <v>0.06</v>
      </c>
      <c r="Y94" s="99">
        <v>6914.2</v>
      </c>
      <c r="Z94" s="129">
        <v>1312.87</v>
      </c>
      <c r="AA94" s="118">
        <v>16202.11</v>
      </c>
      <c r="AB94" s="43">
        <v>625.39</v>
      </c>
      <c r="AC94" s="42">
        <v>5900.65</v>
      </c>
      <c r="AD94" s="43">
        <v>859.41</v>
      </c>
      <c r="AE94" s="42">
        <v>5376.85</v>
      </c>
      <c r="AF94" s="43">
        <v>246.57</v>
      </c>
      <c r="AG94" s="43">
        <v>466.35</v>
      </c>
      <c r="AH94" s="43">
        <v>98.33</v>
      </c>
      <c r="AI94" s="99">
        <v>27945.96</v>
      </c>
      <c r="AJ94" s="129">
        <v>1829.7</v>
      </c>
      <c r="AK94" s="118">
        <v>54342.26</v>
      </c>
      <c r="AL94" s="42">
        <v>6974.36</v>
      </c>
      <c r="AM94" s="42">
        <v>6439.73</v>
      </c>
      <c r="AN94" s="43">
        <v>505.67</v>
      </c>
      <c r="AO94" s="42">
        <v>3619.71</v>
      </c>
      <c r="AP94" s="43">
        <v>475.02</v>
      </c>
      <c r="AQ94" s="43">
        <v>142.22999999999999</v>
      </c>
      <c r="AR94" s="43">
        <v>51.45</v>
      </c>
      <c r="AS94" s="42">
        <v>1401.84</v>
      </c>
      <c r="AT94" s="43">
        <v>163.30000000000001</v>
      </c>
      <c r="AU94" s="99">
        <v>65945.75</v>
      </c>
      <c r="AV94" s="129">
        <v>8169.79</v>
      </c>
      <c r="AW94" s="118">
        <v>6134.8</v>
      </c>
      <c r="AX94" s="43">
        <v>654.15</v>
      </c>
      <c r="AY94" s="42">
        <v>6057.25</v>
      </c>
      <c r="AZ94" s="43">
        <v>709.7</v>
      </c>
      <c r="BA94" s="43">
        <v>941.68</v>
      </c>
      <c r="BB94" s="43">
        <v>123.99</v>
      </c>
      <c r="BC94" s="43">
        <v>107.84</v>
      </c>
      <c r="BD94" s="43">
        <v>31.2</v>
      </c>
      <c r="BE94" s="99">
        <v>13241.57</v>
      </c>
      <c r="BF94" s="129">
        <v>1519.05</v>
      </c>
      <c r="BG94" s="118">
        <v>29302.9</v>
      </c>
      <c r="BH94" s="174">
        <v>1668.55</v>
      </c>
      <c r="BI94" s="156">
        <v>154117.04</v>
      </c>
      <c r="BJ94" s="190">
        <v>18957.07</v>
      </c>
    </row>
    <row r="95" spans="1:62" x14ac:dyDescent="0.25">
      <c r="A95" s="373"/>
      <c r="B95" s="376"/>
      <c r="C95" s="41">
        <v>4</v>
      </c>
      <c r="D95" s="243">
        <v>88</v>
      </c>
      <c r="E95" s="118">
        <v>4753.63</v>
      </c>
      <c r="F95" s="42">
        <v>1781.97</v>
      </c>
      <c r="G95" s="43">
        <v>56.81</v>
      </c>
      <c r="H95" s="43">
        <v>34.85</v>
      </c>
      <c r="I95" s="43">
        <v>0.31</v>
      </c>
      <c r="J95" s="43">
        <v>0.22</v>
      </c>
      <c r="K95" s="43">
        <v>40.08</v>
      </c>
      <c r="L95" s="43">
        <v>18.97</v>
      </c>
      <c r="M95" s="42">
        <v>5524.62</v>
      </c>
      <c r="N95" s="42">
        <v>2407.85</v>
      </c>
      <c r="O95" s="99">
        <v>10375.450000000001</v>
      </c>
      <c r="P95" s="129">
        <v>4243.8599999999997</v>
      </c>
      <c r="Q95" s="118">
        <v>5983.04</v>
      </c>
      <c r="R95" s="42">
        <v>1132.1500000000001</v>
      </c>
      <c r="S95" s="43">
        <v>44.21</v>
      </c>
      <c r="T95" s="43">
        <v>28.39</v>
      </c>
      <c r="U95" s="43">
        <v>526.59</v>
      </c>
      <c r="V95" s="43">
        <v>133.84</v>
      </c>
      <c r="W95" s="43">
        <v>0.05</v>
      </c>
      <c r="X95" s="43">
        <v>0</v>
      </c>
      <c r="Y95" s="99">
        <v>6553.89</v>
      </c>
      <c r="Z95" s="129">
        <v>1294.3800000000001</v>
      </c>
      <c r="AA95" s="118">
        <v>15730.19</v>
      </c>
      <c r="AB95" s="43">
        <v>598.73</v>
      </c>
      <c r="AC95" s="42">
        <v>5942.84</v>
      </c>
      <c r="AD95" s="43">
        <v>858.54</v>
      </c>
      <c r="AE95" s="42">
        <v>4634.58</v>
      </c>
      <c r="AF95" s="43">
        <v>248.83</v>
      </c>
      <c r="AG95" s="43">
        <v>425.46</v>
      </c>
      <c r="AH95" s="43">
        <v>88.15</v>
      </c>
      <c r="AI95" s="99">
        <v>26733.08</v>
      </c>
      <c r="AJ95" s="129">
        <v>1794.25</v>
      </c>
      <c r="AK95" s="118">
        <v>44657.279999999999</v>
      </c>
      <c r="AL95" s="42">
        <v>5689.09</v>
      </c>
      <c r="AM95" s="42">
        <v>4116.84</v>
      </c>
      <c r="AN95" s="43">
        <v>331.26</v>
      </c>
      <c r="AO95" s="42">
        <v>3404.2</v>
      </c>
      <c r="AP95" s="43">
        <v>475.43</v>
      </c>
      <c r="AQ95" s="43">
        <v>105.85</v>
      </c>
      <c r="AR95" s="43">
        <v>46.99</v>
      </c>
      <c r="AS95" s="42">
        <v>1655.25</v>
      </c>
      <c r="AT95" s="43">
        <v>174.56</v>
      </c>
      <c r="AU95" s="99">
        <v>53939.42</v>
      </c>
      <c r="AV95" s="129">
        <v>6717.32</v>
      </c>
      <c r="AW95" s="118">
        <v>5120.78</v>
      </c>
      <c r="AX95" s="43">
        <v>544.75</v>
      </c>
      <c r="AY95" s="42">
        <v>5382.16</v>
      </c>
      <c r="AZ95" s="43">
        <v>627.66</v>
      </c>
      <c r="BA95" s="43">
        <v>713.14</v>
      </c>
      <c r="BB95" s="43">
        <v>83.32</v>
      </c>
      <c r="BC95" s="43">
        <v>79.86</v>
      </c>
      <c r="BD95" s="43">
        <v>19.239999999999998</v>
      </c>
      <c r="BE95" s="99">
        <v>11295.94</v>
      </c>
      <c r="BF95" s="129">
        <v>1274.97</v>
      </c>
      <c r="BG95" s="118">
        <v>27627.22</v>
      </c>
      <c r="BH95" s="174">
        <v>1588.82</v>
      </c>
      <c r="BI95" s="156">
        <v>136525</v>
      </c>
      <c r="BJ95" s="190">
        <v>16913.61</v>
      </c>
    </row>
    <row r="96" spans="1:62" x14ac:dyDescent="0.25">
      <c r="A96" s="373"/>
      <c r="B96" s="376"/>
      <c r="C96" s="41">
        <v>5</v>
      </c>
      <c r="D96" s="243">
        <v>89</v>
      </c>
      <c r="E96" s="118">
        <v>5948.67</v>
      </c>
      <c r="F96" s="42">
        <v>2145.65</v>
      </c>
      <c r="G96" s="43">
        <v>90.83</v>
      </c>
      <c r="H96" s="43">
        <v>60.44</v>
      </c>
      <c r="I96" s="43">
        <v>0.59</v>
      </c>
      <c r="J96" s="43">
        <v>0.34</v>
      </c>
      <c r="K96" s="43">
        <v>89.64</v>
      </c>
      <c r="L96" s="43">
        <v>35.35</v>
      </c>
      <c r="M96" s="42">
        <v>6208.03</v>
      </c>
      <c r="N96" s="42">
        <v>2642.85</v>
      </c>
      <c r="O96" s="99">
        <v>12337.76</v>
      </c>
      <c r="P96" s="129">
        <v>4884.6400000000003</v>
      </c>
      <c r="Q96" s="118">
        <v>6337.74</v>
      </c>
      <c r="R96" s="42">
        <v>1103.32</v>
      </c>
      <c r="S96" s="43">
        <v>64.400000000000006</v>
      </c>
      <c r="T96" s="43">
        <v>28.55</v>
      </c>
      <c r="U96" s="43">
        <v>626.64</v>
      </c>
      <c r="V96" s="43">
        <v>140.37</v>
      </c>
      <c r="W96" s="43">
        <v>0.43</v>
      </c>
      <c r="X96" s="43">
        <v>0.05</v>
      </c>
      <c r="Y96" s="99">
        <v>7029.2</v>
      </c>
      <c r="Z96" s="129">
        <v>1272.29</v>
      </c>
      <c r="AA96" s="118">
        <v>16709.95</v>
      </c>
      <c r="AB96" s="43">
        <v>626.57000000000005</v>
      </c>
      <c r="AC96" s="42">
        <v>5593.9</v>
      </c>
      <c r="AD96" s="43">
        <v>817.48</v>
      </c>
      <c r="AE96" s="42">
        <v>5518.65</v>
      </c>
      <c r="AF96" s="43">
        <v>279.56</v>
      </c>
      <c r="AG96" s="43">
        <v>333.25</v>
      </c>
      <c r="AH96" s="43">
        <v>78.36</v>
      </c>
      <c r="AI96" s="99">
        <v>28155.74</v>
      </c>
      <c r="AJ96" s="129">
        <v>1801.97</v>
      </c>
      <c r="AK96" s="118">
        <v>49378.67</v>
      </c>
      <c r="AL96" s="42">
        <v>6137.45</v>
      </c>
      <c r="AM96" s="42">
        <v>5174.87</v>
      </c>
      <c r="AN96" s="43">
        <v>413.26</v>
      </c>
      <c r="AO96" s="42">
        <v>4305.1000000000004</v>
      </c>
      <c r="AP96" s="43">
        <v>559.15</v>
      </c>
      <c r="AQ96" s="43">
        <v>150.94</v>
      </c>
      <c r="AR96" s="43">
        <v>75.33</v>
      </c>
      <c r="AS96" s="42">
        <v>1633.93</v>
      </c>
      <c r="AT96" s="43">
        <v>171.15</v>
      </c>
      <c r="AU96" s="99">
        <v>60643.519999999997</v>
      </c>
      <c r="AV96" s="129">
        <v>7356.33</v>
      </c>
      <c r="AW96" s="118">
        <v>5128.32</v>
      </c>
      <c r="AX96" s="43">
        <v>530.04</v>
      </c>
      <c r="AY96" s="42">
        <v>5795.46</v>
      </c>
      <c r="AZ96" s="43">
        <v>673.6</v>
      </c>
      <c r="BA96" s="43">
        <v>607.16999999999996</v>
      </c>
      <c r="BB96" s="43">
        <v>68.099999999999994</v>
      </c>
      <c r="BC96" s="43">
        <v>114.89</v>
      </c>
      <c r="BD96" s="43">
        <v>18.12</v>
      </c>
      <c r="BE96" s="99">
        <v>11645.84</v>
      </c>
      <c r="BF96" s="129">
        <v>1289.8599999999999</v>
      </c>
      <c r="BG96" s="118">
        <v>24416.5</v>
      </c>
      <c r="BH96" s="174">
        <v>1536.3</v>
      </c>
      <c r="BI96" s="156">
        <v>144228.56</v>
      </c>
      <c r="BJ96" s="190">
        <v>18141.39</v>
      </c>
    </row>
    <row r="97" spans="1:63" x14ac:dyDescent="0.25">
      <c r="A97" s="373"/>
      <c r="B97" s="376"/>
      <c r="C97" s="41">
        <v>6</v>
      </c>
      <c r="D97" s="243">
        <v>90</v>
      </c>
      <c r="E97" s="118">
        <v>5888.32</v>
      </c>
      <c r="F97" s="42">
        <v>2086.7399999999998</v>
      </c>
      <c r="G97" s="43">
        <v>70.959999999999994</v>
      </c>
      <c r="H97" s="43">
        <v>44.33</v>
      </c>
      <c r="I97" s="43">
        <v>2.0499999999999998</v>
      </c>
      <c r="J97" s="43">
        <v>1.58</v>
      </c>
      <c r="K97" s="43">
        <v>76.84</v>
      </c>
      <c r="L97" s="43">
        <v>27.82</v>
      </c>
      <c r="M97" s="42">
        <v>6045.65</v>
      </c>
      <c r="N97" s="42">
        <v>2507.33</v>
      </c>
      <c r="O97" s="99">
        <v>12083.82</v>
      </c>
      <c r="P97" s="129">
        <v>4667.8</v>
      </c>
      <c r="Q97" s="118">
        <v>6132</v>
      </c>
      <c r="R97" s="42">
        <v>1068.3499999999999</v>
      </c>
      <c r="S97" s="43">
        <v>83.37</v>
      </c>
      <c r="T97" s="43">
        <v>29.31</v>
      </c>
      <c r="U97" s="43">
        <v>635.49</v>
      </c>
      <c r="V97" s="43">
        <v>142</v>
      </c>
      <c r="W97" s="43">
        <v>3.12</v>
      </c>
      <c r="X97" s="43">
        <v>0.52</v>
      </c>
      <c r="Y97" s="99">
        <v>6853.98</v>
      </c>
      <c r="Z97" s="129">
        <v>1240.18</v>
      </c>
      <c r="AA97" s="118">
        <v>14316.37</v>
      </c>
      <c r="AB97" s="43">
        <v>559.52</v>
      </c>
      <c r="AC97" s="42">
        <v>6198.83</v>
      </c>
      <c r="AD97" s="43">
        <v>886.1</v>
      </c>
      <c r="AE97" s="42">
        <v>3258.33</v>
      </c>
      <c r="AF97" s="43">
        <v>193.54</v>
      </c>
      <c r="AG97" s="43">
        <v>379.14</v>
      </c>
      <c r="AH97" s="43">
        <v>85</v>
      </c>
      <c r="AI97" s="99">
        <v>24152.66</v>
      </c>
      <c r="AJ97" s="129">
        <v>1724.16</v>
      </c>
      <c r="AK97" s="118">
        <v>49782.239999999998</v>
      </c>
      <c r="AL97" s="42">
        <v>6221.26</v>
      </c>
      <c r="AM97" s="42">
        <v>5760.2</v>
      </c>
      <c r="AN97" s="43">
        <v>432.78</v>
      </c>
      <c r="AO97" s="42">
        <v>4053.49</v>
      </c>
      <c r="AP97" s="43">
        <v>516.44000000000005</v>
      </c>
      <c r="AQ97" s="43">
        <v>240.39</v>
      </c>
      <c r="AR97" s="43">
        <v>125.01</v>
      </c>
      <c r="AS97" s="42">
        <v>1670.89</v>
      </c>
      <c r="AT97" s="43">
        <v>174.41</v>
      </c>
      <c r="AU97" s="99">
        <v>61507.21</v>
      </c>
      <c r="AV97" s="129">
        <v>7469.89</v>
      </c>
      <c r="AW97" s="118">
        <v>5086.99</v>
      </c>
      <c r="AX97" s="43">
        <v>523.26</v>
      </c>
      <c r="AY97" s="42">
        <v>5700.35</v>
      </c>
      <c r="AZ97" s="43">
        <v>678.07</v>
      </c>
      <c r="BA97" s="43">
        <v>313.63</v>
      </c>
      <c r="BB97" s="43">
        <v>31.62</v>
      </c>
      <c r="BC97" s="43">
        <v>102.3</v>
      </c>
      <c r="BD97" s="43">
        <v>29.09</v>
      </c>
      <c r="BE97" s="99">
        <v>11203.26</v>
      </c>
      <c r="BF97" s="129">
        <v>1262.03</v>
      </c>
      <c r="BG97" s="118">
        <v>36342.160000000003</v>
      </c>
      <c r="BH97" s="174">
        <v>2063.4299999999998</v>
      </c>
      <c r="BI97" s="156">
        <v>152143.07999999999</v>
      </c>
      <c r="BJ97" s="190">
        <v>18427.490000000002</v>
      </c>
    </row>
    <row r="98" spans="1:63" x14ac:dyDescent="0.25">
      <c r="A98" s="373"/>
      <c r="B98" s="376"/>
      <c r="C98" s="41">
        <v>7</v>
      </c>
      <c r="D98" s="243">
        <v>91</v>
      </c>
      <c r="E98" s="118">
        <v>6844.5</v>
      </c>
      <c r="F98" s="42">
        <v>2422.58</v>
      </c>
      <c r="G98" s="43">
        <v>60.92</v>
      </c>
      <c r="H98" s="43">
        <v>40.56</v>
      </c>
      <c r="I98" s="43">
        <v>1.32</v>
      </c>
      <c r="J98" s="43">
        <v>0.93</v>
      </c>
      <c r="K98" s="43">
        <v>34.44</v>
      </c>
      <c r="L98" s="43">
        <v>19</v>
      </c>
      <c r="M98" s="42">
        <v>7474.81</v>
      </c>
      <c r="N98" s="42">
        <v>3001.28</v>
      </c>
      <c r="O98" s="99">
        <v>14415.98</v>
      </c>
      <c r="P98" s="129">
        <v>5484.35</v>
      </c>
      <c r="Q98" s="118">
        <v>4998.54</v>
      </c>
      <c r="R98" s="43">
        <v>959.51</v>
      </c>
      <c r="S98" s="43">
        <v>63.07</v>
      </c>
      <c r="T98" s="43">
        <v>18.29</v>
      </c>
      <c r="U98" s="43">
        <v>608.49</v>
      </c>
      <c r="V98" s="43">
        <v>124.93</v>
      </c>
      <c r="W98" s="43">
        <v>0.13</v>
      </c>
      <c r="X98" s="43">
        <v>0.09</v>
      </c>
      <c r="Y98" s="99">
        <v>5670.23</v>
      </c>
      <c r="Z98" s="129">
        <v>1102.82</v>
      </c>
      <c r="AA98" s="118">
        <v>12485.43</v>
      </c>
      <c r="AB98" s="43">
        <v>448.92</v>
      </c>
      <c r="AC98" s="42">
        <v>6212</v>
      </c>
      <c r="AD98" s="43">
        <v>882.31</v>
      </c>
      <c r="AE98" s="42">
        <v>5190.09</v>
      </c>
      <c r="AF98" s="43">
        <v>282.92</v>
      </c>
      <c r="AG98" s="43">
        <v>357.57</v>
      </c>
      <c r="AH98" s="43">
        <v>70.69</v>
      </c>
      <c r="AI98" s="99">
        <v>24245.09</v>
      </c>
      <c r="AJ98" s="129">
        <v>1684.84</v>
      </c>
      <c r="AK98" s="118">
        <v>54581.77</v>
      </c>
      <c r="AL98" s="42">
        <v>6834.44</v>
      </c>
      <c r="AM98" s="42">
        <v>5823.84</v>
      </c>
      <c r="AN98" s="43">
        <v>457.16</v>
      </c>
      <c r="AO98" s="42">
        <v>4160.3100000000004</v>
      </c>
      <c r="AP98" s="43">
        <v>523.49</v>
      </c>
      <c r="AQ98" s="43">
        <v>220.36</v>
      </c>
      <c r="AR98" s="43">
        <v>138.53</v>
      </c>
      <c r="AS98" s="42">
        <v>2267.85</v>
      </c>
      <c r="AT98" s="43">
        <v>222.11</v>
      </c>
      <c r="AU98" s="99">
        <v>67054.12</v>
      </c>
      <c r="AV98" s="129">
        <v>8175.73</v>
      </c>
      <c r="AW98" s="118">
        <v>4843.8500000000004</v>
      </c>
      <c r="AX98" s="43">
        <v>512.82000000000005</v>
      </c>
      <c r="AY98" s="42">
        <v>6565.38</v>
      </c>
      <c r="AZ98" s="43">
        <v>782.22</v>
      </c>
      <c r="BA98" s="43">
        <v>481.06</v>
      </c>
      <c r="BB98" s="43">
        <v>60.97</v>
      </c>
      <c r="BC98" s="43">
        <v>148.74</v>
      </c>
      <c r="BD98" s="43">
        <v>28.89</v>
      </c>
      <c r="BE98" s="99">
        <v>12039.02</v>
      </c>
      <c r="BF98" s="129">
        <v>1384.89</v>
      </c>
      <c r="BG98" s="118">
        <v>36306.660000000003</v>
      </c>
      <c r="BH98" s="174">
        <v>2056.15</v>
      </c>
      <c r="BI98" s="156">
        <v>159731.1</v>
      </c>
      <c r="BJ98" s="190">
        <v>19888.77</v>
      </c>
    </row>
    <row r="99" spans="1:63" x14ac:dyDescent="0.25">
      <c r="A99" s="373"/>
      <c r="B99" s="376"/>
      <c r="C99" s="41">
        <v>8</v>
      </c>
      <c r="D99" s="243">
        <v>92</v>
      </c>
      <c r="E99" s="118">
        <v>7023.38</v>
      </c>
      <c r="F99" s="42">
        <v>2489.0300000000002</v>
      </c>
      <c r="G99" s="43">
        <v>44.16</v>
      </c>
      <c r="H99" s="43">
        <v>26.11</v>
      </c>
      <c r="I99" s="43">
        <v>0.14000000000000001</v>
      </c>
      <c r="J99" s="43">
        <v>0.06</v>
      </c>
      <c r="K99" s="43">
        <v>83.57</v>
      </c>
      <c r="L99" s="43">
        <v>38.549999999999997</v>
      </c>
      <c r="M99" s="42">
        <v>7209.55</v>
      </c>
      <c r="N99" s="42">
        <v>2992.76</v>
      </c>
      <c r="O99" s="99">
        <v>14360.79</v>
      </c>
      <c r="P99" s="129">
        <v>5546.5</v>
      </c>
      <c r="Q99" s="118">
        <v>4597.1499999999996</v>
      </c>
      <c r="R99" s="43">
        <v>813.14</v>
      </c>
      <c r="S99" s="43">
        <v>43.8</v>
      </c>
      <c r="T99" s="43">
        <v>13.04</v>
      </c>
      <c r="U99" s="43">
        <v>597.98</v>
      </c>
      <c r="V99" s="43">
        <v>131.30000000000001</v>
      </c>
      <c r="W99" s="43">
        <v>0.09</v>
      </c>
      <c r="X99" s="43">
        <v>0.06</v>
      </c>
      <c r="Y99" s="99">
        <v>5239.0200000000004</v>
      </c>
      <c r="Z99" s="141">
        <v>957.54</v>
      </c>
      <c r="AA99" s="118">
        <v>13844.11</v>
      </c>
      <c r="AB99" s="43">
        <v>535.27</v>
      </c>
      <c r="AC99" s="42">
        <v>5247.11</v>
      </c>
      <c r="AD99" s="43">
        <v>744.31</v>
      </c>
      <c r="AE99" s="42">
        <v>7725.14</v>
      </c>
      <c r="AF99" s="43">
        <v>331.79</v>
      </c>
      <c r="AG99" s="43">
        <v>318.35000000000002</v>
      </c>
      <c r="AH99" s="43">
        <v>72.66</v>
      </c>
      <c r="AI99" s="99">
        <v>27134.71</v>
      </c>
      <c r="AJ99" s="129">
        <v>1684.03</v>
      </c>
      <c r="AK99" s="118">
        <v>47415.39</v>
      </c>
      <c r="AL99" s="42">
        <v>5990.25</v>
      </c>
      <c r="AM99" s="42">
        <v>5837.55</v>
      </c>
      <c r="AN99" s="43">
        <v>438.94</v>
      </c>
      <c r="AO99" s="42">
        <v>3399.43</v>
      </c>
      <c r="AP99" s="43">
        <v>386.65</v>
      </c>
      <c r="AQ99" s="43">
        <v>257.29000000000002</v>
      </c>
      <c r="AR99" s="43">
        <v>169.99</v>
      </c>
      <c r="AS99" s="42">
        <v>1824.25</v>
      </c>
      <c r="AT99" s="43">
        <v>184.87</v>
      </c>
      <c r="AU99" s="99">
        <v>58733.91</v>
      </c>
      <c r="AV99" s="129">
        <v>7170.7</v>
      </c>
      <c r="AW99" s="118">
        <v>5083.84</v>
      </c>
      <c r="AX99" s="43">
        <v>509.86</v>
      </c>
      <c r="AY99" s="42">
        <v>5239.53</v>
      </c>
      <c r="AZ99" s="43">
        <v>654.96</v>
      </c>
      <c r="BA99" s="43">
        <v>347.42</v>
      </c>
      <c r="BB99" s="43">
        <v>42.07</v>
      </c>
      <c r="BC99" s="43">
        <v>150.01</v>
      </c>
      <c r="BD99" s="43">
        <v>34.1</v>
      </c>
      <c r="BE99" s="99">
        <v>10820.8</v>
      </c>
      <c r="BF99" s="129">
        <v>1240.99</v>
      </c>
      <c r="BG99" s="118">
        <v>26703.64</v>
      </c>
      <c r="BH99" s="174">
        <v>1623.93</v>
      </c>
      <c r="BI99" s="156">
        <v>142992.85999999999</v>
      </c>
      <c r="BJ99" s="190">
        <v>18223.68</v>
      </c>
    </row>
    <row r="100" spans="1:63" x14ac:dyDescent="0.25">
      <c r="A100" s="373"/>
      <c r="B100" s="376"/>
      <c r="C100" s="41">
        <v>9</v>
      </c>
      <c r="D100" s="243">
        <v>93</v>
      </c>
      <c r="E100" s="118">
        <v>8321.86</v>
      </c>
      <c r="F100" s="42">
        <v>2869.74</v>
      </c>
      <c r="G100" s="43">
        <v>66.84</v>
      </c>
      <c r="H100" s="43">
        <v>45.18</v>
      </c>
      <c r="I100" s="43">
        <v>0.63</v>
      </c>
      <c r="J100" s="43">
        <v>0.35</v>
      </c>
      <c r="K100" s="43">
        <v>135.62</v>
      </c>
      <c r="L100" s="43">
        <v>54.1</v>
      </c>
      <c r="M100" s="42">
        <v>8541.7000000000007</v>
      </c>
      <c r="N100" s="42">
        <v>3481.05</v>
      </c>
      <c r="O100" s="99">
        <v>17066.64</v>
      </c>
      <c r="P100" s="129">
        <v>6450.42</v>
      </c>
      <c r="Q100" s="118">
        <v>4635.53</v>
      </c>
      <c r="R100" s="43">
        <v>811.21</v>
      </c>
      <c r="S100" s="43">
        <v>72.48</v>
      </c>
      <c r="T100" s="43">
        <v>45.67</v>
      </c>
      <c r="U100" s="43">
        <v>852.59</v>
      </c>
      <c r="V100" s="43">
        <v>179.49</v>
      </c>
      <c r="W100" s="43">
        <v>0.09</v>
      </c>
      <c r="X100" s="43">
        <v>0.06</v>
      </c>
      <c r="Y100" s="99">
        <v>5560.69</v>
      </c>
      <c r="Z100" s="129">
        <v>1036.43</v>
      </c>
      <c r="AA100" s="118">
        <v>15914.6</v>
      </c>
      <c r="AB100" s="43">
        <v>683.42</v>
      </c>
      <c r="AC100" s="42">
        <v>6335.62</v>
      </c>
      <c r="AD100" s="43">
        <v>918.19</v>
      </c>
      <c r="AE100" s="42">
        <v>7502.73</v>
      </c>
      <c r="AF100" s="43">
        <v>284.83999999999997</v>
      </c>
      <c r="AG100" s="43">
        <v>372.09</v>
      </c>
      <c r="AH100" s="43">
        <v>81.150000000000006</v>
      </c>
      <c r="AI100" s="99">
        <v>30125.040000000001</v>
      </c>
      <c r="AJ100" s="129">
        <v>1967.6</v>
      </c>
      <c r="AK100" s="118">
        <v>47608.69</v>
      </c>
      <c r="AL100" s="42">
        <v>6020.29</v>
      </c>
      <c r="AM100" s="42">
        <v>6183.41</v>
      </c>
      <c r="AN100" s="43">
        <v>454.71</v>
      </c>
      <c r="AO100" s="42">
        <v>4000.31</v>
      </c>
      <c r="AP100" s="43">
        <v>481.17</v>
      </c>
      <c r="AQ100" s="43">
        <v>231.16</v>
      </c>
      <c r="AR100" s="43">
        <v>168.24</v>
      </c>
      <c r="AS100" s="42">
        <v>2247.87</v>
      </c>
      <c r="AT100" s="43">
        <v>219.13</v>
      </c>
      <c r="AU100" s="99">
        <v>60271.44</v>
      </c>
      <c r="AV100" s="129">
        <v>7343.54</v>
      </c>
      <c r="AW100" s="118">
        <v>5758.06</v>
      </c>
      <c r="AX100" s="43">
        <v>612.52</v>
      </c>
      <c r="AY100" s="42">
        <v>5890.1</v>
      </c>
      <c r="AZ100" s="43">
        <v>688.05</v>
      </c>
      <c r="BA100" s="43">
        <v>424.57</v>
      </c>
      <c r="BB100" s="43">
        <v>49.28</v>
      </c>
      <c r="BC100" s="43">
        <v>133.79</v>
      </c>
      <c r="BD100" s="43">
        <v>33.24</v>
      </c>
      <c r="BE100" s="99">
        <v>12206.52</v>
      </c>
      <c r="BF100" s="129">
        <v>1383.09</v>
      </c>
      <c r="BG100" s="118">
        <v>26709.37</v>
      </c>
      <c r="BH100" s="174">
        <v>1672.44</v>
      </c>
      <c r="BI100" s="156">
        <v>151939.69</v>
      </c>
      <c r="BJ100" s="190">
        <v>19853.53</v>
      </c>
    </row>
    <row r="101" spans="1:63" x14ac:dyDescent="0.25">
      <c r="A101" s="373"/>
      <c r="B101" s="376"/>
      <c r="C101" s="41">
        <v>10</v>
      </c>
      <c r="D101" s="243">
        <v>94</v>
      </c>
      <c r="E101" s="118">
        <v>11589.44</v>
      </c>
      <c r="F101" s="42">
        <v>4114.24</v>
      </c>
      <c r="G101" s="43">
        <v>43.52</v>
      </c>
      <c r="H101" s="43">
        <v>24.33</v>
      </c>
      <c r="I101" s="43">
        <v>1.91</v>
      </c>
      <c r="J101" s="43">
        <v>1.54</v>
      </c>
      <c r="K101" s="43">
        <v>116.83</v>
      </c>
      <c r="L101" s="43">
        <v>43.55</v>
      </c>
      <c r="M101" s="42">
        <v>10568.06</v>
      </c>
      <c r="N101" s="42">
        <v>4383.74</v>
      </c>
      <c r="O101" s="99">
        <v>22319.759999999998</v>
      </c>
      <c r="P101" s="129">
        <v>8567.39</v>
      </c>
      <c r="Q101" s="118">
        <v>5797.79</v>
      </c>
      <c r="R101" s="42">
        <v>1018.56</v>
      </c>
      <c r="S101" s="43">
        <v>94.98</v>
      </c>
      <c r="T101" s="43">
        <v>42.31</v>
      </c>
      <c r="U101" s="43">
        <v>763.53</v>
      </c>
      <c r="V101" s="43">
        <v>152.05000000000001</v>
      </c>
      <c r="W101" s="43">
        <v>0.75</v>
      </c>
      <c r="X101" s="43">
        <v>0.09</v>
      </c>
      <c r="Y101" s="99">
        <v>6657.05</v>
      </c>
      <c r="Z101" s="129">
        <v>1213.01</v>
      </c>
      <c r="AA101" s="118">
        <v>15965.91</v>
      </c>
      <c r="AB101" s="43">
        <v>609.82000000000005</v>
      </c>
      <c r="AC101" s="42">
        <v>7075.14</v>
      </c>
      <c r="AD101" s="43">
        <v>994.61</v>
      </c>
      <c r="AE101" s="42">
        <v>8052.74</v>
      </c>
      <c r="AF101" s="43">
        <v>366.42</v>
      </c>
      <c r="AG101" s="43">
        <v>419.01</v>
      </c>
      <c r="AH101" s="43">
        <v>79.28</v>
      </c>
      <c r="AI101" s="99">
        <v>31512.79</v>
      </c>
      <c r="AJ101" s="129">
        <v>2050.13</v>
      </c>
      <c r="AK101" s="118">
        <v>51183.87</v>
      </c>
      <c r="AL101" s="42">
        <v>6533.82</v>
      </c>
      <c r="AM101" s="42">
        <v>6296.09</v>
      </c>
      <c r="AN101" s="43">
        <v>459.81</v>
      </c>
      <c r="AO101" s="42">
        <v>4201.1099999999997</v>
      </c>
      <c r="AP101" s="43">
        <v>539.21</v>
      </c>
      <c r="AQ101" s="43">
        <v>244.65</v>
      </c>
      <c r="AR101" s="43">
        <v>167.68</v>
      </c>
      <c r="AS101" s="42">
        <v>2893.82</v>
      </c>
      <c r="AT101" s="43">
        <v>269.33</v>
      </c>
      <c r="AU101" s="99">
        <v>64819.54</v>
      </c>
      <c r="AV101" s="129">
        <v>7969.85</v>
      </c>
      <c r="AW101" s="118">
        <v>5575.56</v>
      </c>
      <c r="AX101" s="43">
        <v>572.64</v>
      </c>
      <c r="AY101" s="42">
        <v>5962.71</v>
      </c>
      <c r="AZ101" s="43">
        <v>737.85</v>
      </c>
      <c r="BA101" s="42">
        <v>1446.56</v>
      </c>
      <c r="BB101" s="43">
        <v>191.42</v>
      </c>
      <c r="BC101" s="43">
        <v>239.46</v>
      </c>
      <c r="BD101" s="43">
        <v>45.3</v>
      </c>
      <c r="BE101" s="99">
        <v>13224.28</v>
      </c>
      <c r="BF101" s="129">
        <v>1547.21</v>
      </c>
      <c r="BG101" s="118">
        <v>30203.46</v>
      </c>
      <c r="BH101" s="174">
        <v>1857.18</v>
      </c>
      <c r="BI101" s="156">
        <v>168736.88</v>
      </c>
      <c r="BJ101" s="190">
        <v>23204.77</v>
      </c>
    </row>
    <row r="102" spans="1:63" x14ac:dyDescent="0.25">
      <c r="A102" s="373"/>
      <c r="B102" s="376"/>
      <c r="C102" s="41">
        <v>11</v>
      </c>
      <c r="D102" s="243">
        <v>95</v>
      </c>
      <c r="E102" s="118">
        <v>8609.4</v>
      </c>
      <c r="F102" s="42">
        <v>3029.08</v>
      </c>
      <c r="G102" s="43">
        <v>44.67</v>
      </c>
      <c r="H102" s="43">
        <v>28.4</v>
      </c>
      <c r="I102" s="43">
        <v>0.85</v>
      </c>
      <c r="J102" s="43">
        <v>0.6</v>
      </c>
      <c r="K102" s="43">
        <v>115.87</v>
      </c>
      <c r="L102" s="43">
        <v>33.46</v>
      </c>
      <c r="M102" s="42">
        <v>8571.58</v>
      </c>
      <c r="N102" s="42">
        <v>3531.76</v>
      </c>
      <c r="O102" s="99">
        <v>17342.37</v>
      </c>
      <c r="P102" s="129">
        <v>6623.3</v>
      </c>
      <c r="Q102" s="118">
        <v>5366.46</v>
      </c>
      <c r="R102" s="43">
        <v>916.85</v>
      </c>
      <c r="S102" s="43">
        <v>84.48</v>
      </c>
      <c r="T102" s="43">
        <v>48.1</v>
      </c>
      <c r="U102" s="43">
        <v>607.38</v>
      </c>
      <c r="V102" s="43">
        <v>131.18</v>
      </c>
      <c r="W102" s="43">
        <v>0.75</v>
      </c>
      <c r="X102" s="43">
        <v>0.09</v>
      </c>
      <c r="Y102" s="99">
        <v>6059.07</v>
      </c>
      <c r="Z102" s="129">
        <v>1096.22</v>
      </c>
      <c r="AA102" s="118">
        <v>15823.69</v>
      </c>
      <c r="AB102" s="43">
        <v>566.33000000000004</v>
      </c>
      <c r="AC102" s="42">
        <v>6490.05</v>
      </c>
      <c r="AD102" s="43">
        <v>893.52</v>
      </c>
      <c r="AE102" s="42">
        <v>7889.3</v>
      </c>
      <c r="AF102" s="43">
        <v>308.58999999999997</v>
      </c>
      <c r="AG102" s="43">
        <v>351.39</v>
      </c>
      <c r="AH102" s="43">
        <v>70.12</v>
      </c>
      <c r="AI102" s="99">
        <v>30554.42</v>
      </c>
      <c r="AJ102" s="129">
        <v>1838.57</v>
      </c>
      <c r="AK102" s="118">
        <v>47798.67</v>
      </c>
      <c r="AL102" s="42">
        <v>6119.6</v>
      </c>
      <c r="AM102" s="42">
        <v>6406.57</v>
      </c>
      <c r="AN102" s="43">
        <v>469.97</v>
      </c>
      <c r="AO102" s="42">
        <v>4755.1499999999996</v>
      </c>
      <c r="AP102" s="43">
        <v>590.87</v>
      </c>
      <c r="AQ102" s="43">
        <v>272.08999999999997</v>
      </c>
      <c r="AR102" s="43">
        <v>195.77</v>
      </c>
      <c r="AS102" s="42">
        <v>2297.71</v>
      </c>
      <c r="AT102" s="43">
        <v>220.37</v>
      </c>
      <c r="AU102" s="99">
        <v>61530.2</v>
      </c>
      <c r="AV102" s="129">
        <v>7596.59</v>
      </c>
      <c r="AW102" s="118">
        <v>5617.41</v>
      </c>
      <c r="AX102" s="43">
        <v>566.02</v>
      </c>
      <c r="AY102" s="42">
        <v>5927.57</v>
      </c>
      <c r="AZ102" s="43">
        <v>692.87</v>
      </c>
      <c r="BA102" s="42">
        <v>1057.3</v>
      </c>
      <c r="BB102" s="43">
        <v>133.54</v>
      </c>
      <c r="BC102" s="43">
        <v>202.33</v>
      </c>
      <c r="BD102" s="43">
        <v>29.49</v>
      </c>
      <c r="BE102" s="99">
        <v>12804.61</v>
      </c>
      <c r="BF102" s="129">
        <v>1421.93</v>
      </c>
      <c r="BG102" s="118">
        <v>29705.26</v>
      </c>
      <c r="BH102" s="174">
        <v>1833.75</v>
      </c>
      <c r="BI102" s="156">
        <v>157995.93</v>
      </c>
      <c r="BJ102" s="190">
        <v>20410.349999999999</v>
      </c>
    </row>
    <row r="103" spans="1:63" x14ac:dyDescent="0.25">
      <c r="A103" s="374"/>
      <c r="B103" s="377"/>
      <c r="C103" s="41">
        <v>12</v>
      </c>
      <c r="D103" s="243">
        <v>96</v>
      </c>
      <c r="E103" s="118">
        <v>7311.47</v>
      </c>
      <c r="F103" s="42">
        <v>2382.83</v>
      </c>
      <c r="G103" s="43">
        <v>86.98</v>
      </c>
      <c r="H103" s="43">
        <v>59.05</v>
      </c>
      <c r="I103" s="43">
        <v>0.12</v>
      </c>
      <c r="J103" s="43">
        <v>0.02</v>
      </c>
      <c r="K103" s="43">
        <v>110.82</v>
      </c>
      <c r="L103" s="43">
        <v>34.29</v>
      </c>
      <c r="M103" s="42">
        <v>7519.99</v>
      </c>
      <c r="N103" s="42">
        <v>2917.06</v>
      </c>
      <c r="O103" s="99">
        <v>15029.38</v>
      </c>
      <c r="P103" s="129">
        <v>5393.24</v>
      </c>
      <c r="Q103" s="118">
        <v>3163.55</v>
      </c>
      <c r="R103" s="43">
        <v>569.4</v>
      </c>
      <c r="S103" s="43">
        <v>40.14</v>
      </c>
      <c r="T103" s="43">
        <v>19.21</v>
      </c>
      <c r="U103" s="43">
        <v>648.83000000000004</v>
      </c>
      <c r="V103" s="43">
        <v>140.65</v>
      </c>
      <c r="W103" s="43">
        <v>0.75</v>
      </c>
      <c r="X103" s="43">
        <v>0.09</v>
      </c>
      <c r="Y103" s="99">
        <v>3853.26</v>
      </c>
      <c r="Z103" s="141">
        <v>729.35</v>
      </c>
      <c r="AA103" s="118">
        <v>16794.62</v>
      </c>
      <c r="AB103" s="43">
        <v>635.72</v>
      </c>
      <c r="AC103" s="42">
        <v>6047.38</v>
      </c>
      <c r="AD103" s="43">
        <v>820.12</v>
      </c>
      <c r="AE103" s="42">
        <v>8018.72</v>
      </c>
      <c r="AF103" s="43">
        <v>347.29</v>
      </c>
      <c r="AG103" s="43">
        <v>370.83</v>
      </c>
      <c r="AH103" s="43">
        <v>75.92</v>
      </c>
      <c r="AI103" s="99">
        <v>31231.55</v>
      </c>
      <c r="AJ103" s="129">
        <v>1879.04</v>
      </c>
      <c r="AK103" s="118">
        <v>47992.55</v>
      </c>
      <c r="AL103" s="42">
        <v>5995.28</v>
      </c>
      <c r="AM103" s="42">
        <v>6960.23</v>
      </c>
      <c r="AN103" s="43">
        <v>515.52</v>
      </c>
      <c r="AO103" s="42">
        <v>4679.79</v>
      </c>
      <c r="AP103" s="43">
        <v>549.91999999999996</v>
      </c>
      <c r="AQ103" s="43">
        <v>239.23</v>
      </c>
      <c r="AR103" s="43">
        <v>146.96</v>
      </c>
      <c r="AS103" s="42">
        <v>1852.01</v>
      </c>
      <c r="AT103" s="43">
        <v>197.74</v>
      </c>
      <c r="AU103" s="99">
        <v>61723.81</v>
      </c>
      <c r="AV103" s="129">
        <v>7405.41</v>
      </c>
      <c r="AW103" s="118">
        <v>5417.94</v>
      </c>
      <c r="AX103" s="43">
        <v>540.78</v>
      </c>
      <c r="AY103" s="42">
        <v>6959.62</v>
      </c>
      <c r="AZ103" s="43">
        <v>786.55</v>
      </c>
      <c r="BA103" s="43">
        <v>916.85</v>
      </c>
      <c r="BB103" s="43">
        <v>133.96</v>
      </c>
      <c r="BC103" s="43">
        <v>134.78</v>
      </c>
      <c r="BD103" s="43">
        <v>35.81</v>
      </c>
      <c r="BE103" s="99">
        <v>13429.18</v>
      </c>
      <c r="BF103" s="129">
        <v>1497.12</v>
      </c>
      <c r="BG103" s="118">
        <v>29838.240000000002</v>
      </c>
      <c r="BH103" s="174">
        <v>1749.12</v>
      </c>
      <c r="BI103" s="156">
        <v>155105.42000000001</v>
      </c>
      <c r="BJ103" s="190">
        <v>18653.27</v>
      </c>
    </row>
    <row r="104" spans="1:63" x14ac:dyDescent="0.25">
      <c r="A104" s="378">
        <v>2558</v>
      </c>
      <c r="B104" s="277">
        <v>2015</v>
      </c>
      <c r="C104" s="45">
        <v>1</v>
      </c>
      <c r="D104" s="244">
        <v>97</v>
      </c>
      <c r="E104" s="73">
        <v>6585.29</v>
      </c>
      <c r="F104" s="46">
        <v>2130.4</v>
      </c>
      <c r="G104" s="47">
        <v>77.59</v>
      </c>
      <c r="H104" s="47">
        <v>57.87</v>
      </c>
      <c r="I104" s="47">
        <v>7.0000000000000007E-2</v>
      </c>
      <c r="J104" s="47">
        <v>0.03</v>
      </c>
      <c r="K104" s="47">
        <v>95.44</v>
      </c>
      <c r="L104" s="47">
        <v>31.01</v>
      </c>
      <c r="M104" s="46">
        <v>6157.75</v>
      </c>
      <c r="N104" s="46">
        <v>2315.7600000000002</v>
      </c>
      <c r="O104" s="100">
        <v>12916.15</v>
      </c>
      <c r="P104" s="130">
        <v>4535.07</v>
      </c>
      <c r="Q104" s="73">
        <v>3956.86</v>
      </c>
      <c r="R104" s="47">
        <v>719.1</v>
      </c>
      <c r="S104" s="47">
        <v>91.95</v>
      </c>
      <c r="T104" s="47">
        <v>41.65</v>
      </c>
      <c r="U104" s="47">
        <v>601.19000000000005</v>
      </c>
      <c r="V104" s="47">
        <v>131.58000000000001</v>
      </c>
      <c r="W104" s="47">
        <v>0.56999999999999995</v>
      </c>
      <c r="X104" s="47">
        <v>0.16</v>
      </c>
      <c r="Y104" s="100">
        <v>4650.5600000000004</v>
      </c>
      <c r="Z104" s="142">
        <v>892.49</v>
      </c>
      <c r="AA104" s="73">
        <v>16288.98</v>
      </c>
      <c r="AB104" s="47">
        <v>577.65</v>
      </c>
      <c r="AC104" s="46">
        <v>5021.59</v>
      </c>
      <c r="AD104" s="47">
        <v>746.38</v>
      </c>
      <c r="AE104" s="46">
        <v>7362.7</v>
      </c>
      <c r="AF104" s="47">
        <v>344.93</v>
      </c>
      <c r="AG104" s="47">
        <v>385.49</v>
      </c>
      <c r="AH104" s="47">
        <v>74.25</v>
      </c>
      <c r="AI104" s="100">
        <v>29058.75</v>
      </c>
      <c r="AJ104" s="130">
        <v>1743.2</v>
      </c>
      <c r="AK104" s="73">
        <v>41942.1</v>
      </c>
      <c r="AL104" s="46">
        <v>5236.1000000000004</v>
      </c>
      <c r="AM104" s="46">
        <v>6623.99</v>
      </c>
      <c r="AN104" s="47">
        <v>489.2</v>
      </c>
      <c r="AO104" s="46">
        <v>4838.5</v>
      </c>
      <c r="AP104" s="47">
        <v>626.48</v>
      </c>
      <c r="AQ104" s="47">
        <v>171.39</v>
      </c>
      <c r="AR104" s="47">
        <v>103.79</v>
      </c>
      <c r="AS104" s="46">
        <v>1546.58</v>
      </c>
      <c r="AT104" s="47">
        <v>166.9</v>
      </c>
      <c r="AU104" s="100">
        <v>55122.54</v>
      </c>
      <c r="AV104" s="130">
        <v>6622.47</v>
      </c>
      <c r="AW104" s="73">
        <v>5731.21</v>
      </c>
      <c r="AX104" s="47">
        <v>563.79999999999995</v>
      </c>
      <c r="AY104" s="46">
        <v>5902.54</v>
      </c>
      <c r="AZ104" s="47">
        <v>661.24</v>
      </c>
      <c r="BA104" s="47">
        <v>704.85</v>
      </c>
      <c r="BB104" s="47">
        <v>93.93</v>
      </c>
      <c r="BC104" s="47">
        <v>111.2</v>
      </c>
      <c r="BD104" s="47">
        <v>31.15</v>
      </c>
      <c r="BE104" s="100">
        <v>12449.79</v>
      </c>
      <c r="BF104" s="130">
        <v>1350.12</v>
      </c>
      <c r="BG104" s="73">
        <v>27420.560000000001</v>
      </c>
      <c r="BH104" s="175">
        <v>1750.47</v>
      </c>
      <c r="BI104" s="157">
        <v>141618.35999999999</v>
      </c>
      <c r="BJ104" s="191">
        <v>16893.82</v>
      </c>
      <c r="BK104" s="44"/>
    </row>
    <row r="105" spans="1:63" x14ac:dyDescent="0.25">
      <c r="A105" s="379"/>
      <c r="B105" s="278"/>
      <c r="C105" s="45">
        <v>2</v>
      </c>
      <c r="D105" s="244">
        <v>98</v>
      </c>
      <c r="E105" s="73">
        <v>4702.03</v>
      </c>
      <c r="F105" s="46">
        <v>1397.48</v>
      </c>
      <c r="G105" s="47">
        <v>19.46</v>
      </c>
      <c r="H105" s="47">
        <v>13.42</v>
      </c>
      <c r="I105" s="47">
        <v>1.2</v>
      </c>
      <c r="J105" s="47">
        <v>0.93</v>
      </c>
      <c r="K105" s="47">
        <v>102.93</v>
      </c>
      <c r="L105" s="47">
        <v>26.85</v>
      </c>
      <c r="M105" s="46">
        <v>5447.5</v>
      </c>
      <c r="N105" s="46">
        <v>2063.25</v>
      </c>
      <c r="O105" s="100">
        <v>10273.11</v>
      </c>
      <c r="P105" s="130">
        <v>3501.93</v>
      </c>
      <c r="Q105" s="73">
        <v>4069</v>
      </c>
      <c r="R105" s="47">
        <v>701.16</v>
      </c>
      <c r="S105" s="47">
        <v>23.26</v>
      </c>
      <c r="T105" s="47">
        <v>8.34</v>
      </c>
      <c r="U105" s="47">
        <v>420.22</v>
      </c>
      <c r="V105" s="47">
        <v>93.07</v>
      </c>
      <c r="W105" s="47">
        <v>1.34</v>
      </c>
      <c r="X105" s="47">
        <v>0.28000000000000003</v>
      </c>
      <c r="Y105" s="100">
        <v>4513.82</v>
      </c>
      <c r="Z105" s="142">
        <v>802.86</v>
      </c>
      <c r="AA105" s="73">
        <v>12441.17</v>
      </c>
      <c r="AB105" s="47">
        <v>480.6</v>
      </c>
      <c r="AC105" s="46">
        <v>4582.7700000000004</v>
      </c>
      <c r="AD105" s="47">
        <v>641.16</v>
      </c>
      <c r="AE105" s="46">
        <v>4826.08</v>
      </c>
      <c r="AF105" s="47">
        <v>235.55</v>
      </c>
      <c r="AG105" s="47">
        <v>430.5</v>
      </c>
      <c r="AH105" s="47">
        <v>79.239999999999995</v>
      </c>
      <c r="AI105" s="100">
        <v>22280.52</v>
      </c>
      <c r="AJ105" s="130">
        <v>1436.56</v>
      </c>
      <c r="AK105" s="73">
        <v>41944.08</v>
      </c>
      <c r="AL105" s="46">
        <v>5009.1499999999996</v>
      </c>
      <c r="AM105" s="46">
        <v>6619.85</v>
      </c>
      <c r="AN105" s="47">
        <v>484.37</v>
      </c>
      <c r="AO105" s="46">
        <v>3515.08</v>
      </c>
      <c r="AP105" s="47">
        <v>467.78</v>
      </c>
      <c r="AQ105" s="47">
        <v>79.27</v>
      </c>
      <c r="AR105" s="47">
        <v>49.77</v>
      </c>
      <c r="AS105" s="46">
        <v>1726.64</v>
      </c>
      <c r="AT105" s="47">
        <v>179.74</v>
      </c>
      <c r="AU105" s="100">
        <v>53884.92</v>
      </c>
      <c r="AV105" s="130">
        <v>6190.81</v>
      </c>
      <c r="AW105" s="73">
        <v>5473.17</v>
      </c>
      <c r="AX105" s="47">
        <v>553.78</v>
      </c>
      <c r="AY105" s="46">
        <v>5217.8599999999997</v>
      </c>
      <c r="AZ105" s="47">
        <v>589.25</v>
      </c>
      <c r="BA105" s="46">
        <v>1075.67</v>
      </c>
      <c r="BB105" s="47">
        <v>142.25</v>
      </c>
      <c r="BC105" s="47">
        <v>84.38</v>
      </c>
      <c r="BD105" s="47">
        <v>15.31</v>
      </c>
      <c r="BE105" s="100">
        <v>11851.07</v>
      </c>
      <c r="BF105" s="130">
        <v>1300.5999999999999</v>
      </c>
      <c r="BG105" s="73">
        <v>27727.07</v>
      </c>
      <c r="BH105" s="175">
        <v>1762.03</v>
      </c>
      <c r="BI105" s="157">
        <v>130530.51</v>
      </c>
      <c r="BJ105" s="191">
        <v>14994.79</v>
      </c>
      <c r="BK105" s="44"/>
    </row>
    <row r="106" spans="1:63" x14ac:dyDescent="0.25">
      <c r="A106" s="379"/>
      <c r="B106" s="278"/>
      <c r="C106" s="45">
        <v>3</v>
      </c>
      <c r="D106" s="244">
        <v>99</v>
      </c>
      <c r="E106" s="73">
        <v>5318.47</v>
      </c>
      <c r="F106" s="46">
        <v>1619.41</v>
      </c>
      <c r="G106" s="47">
        <v>56.09</v>
      </c>
      <c r="H106" s="47">
        <v>26.75</v>
      </c>
      <c r="I106" s="47">
        <v>0.26</v>
      </c>
      <c r="J106" s="47">
        <v>0.15</v>
      </c>
      <c r="K106" s="47">
        <v>118.86</v>
      </c>
      <c r="L106" s="47">
        <v>46.83</v>
      </c>
      <c r="M106" s="46">
        <v>6082.77</v>
      </c>
      <c r="N106" s="46">
        <v>2217.12</v>
      </c>
      <c r="O106" s="100">
        <v>11576.44</v>
      </c>
      <c r="P106" s="130">
        <v>3910.26</v>
      </c>
      <c r="Q106" s="73">
        <v>5208.7700000000004</v>
      </c>
      <c r="R106" s="47">
        <v>911.28</v>
      </c>
      <c r="S106" s="47">
        <v>65.14</v>
      </c>
      <c r="T106" s="47">
        <v>20.29</v>
      </c>
      <c r="U106" s="47">
        <v>561.52</v>
      </c>
      <c r="V106" s="47">
        <v>121.38</v>
      </c>
      <c r="W106" s="47">
        <v>0.04</v>
      </c>
      <c r="X106" s="47">
        <v>0.03</v>
      </c>
      <c r="Y106" s="100">
        <v>5835.47</v>
      </c>
      <c r="Z106" s="130">
        <v>1052.98</v>
      </c>
      <c r="AA106" s="73">
        <v>13626.67</v>
      </c>
      <c r="AB106" s="47">
        <v>495.83</v>
      </c>
      <c r="AC106" s="46">
        <v>6095.3</v>
      </c>
      <c r="AD106" s="47">
        <v>905.84</v>
      </c>
      <c r="AE106" s="46">
        <v>7153.59</v>
      </c>
      <c r="AF106" s="47">
        <v>312.54000000000002</v>
      </c>
      <c r="AG106" s="47">
        <v>419.61</v>
      </c>
      <c r="AH106" s="47">
        <v>86.13</v>
      </c>
      <c r="AI106" s="100">
        <v>27295.17</v>
      </c>
      <c r="AJ106" s="130">
        <v>1800.33</v>
      </c>
      <c r="AK106" s="73">
        <v>50575.65</v>
      </c>
      <c r="AL106" s="46">
        <v>5924.35</v>
      </c>
      <c r="AM106" s="46">
        <v>4712.49</v>
      </c>
      <c r="AN106" s="47">
        <v>345.31</v>
      </c>
      <c r="AO106" s="46">
        <v>5198.96</v>
      </c>
      <c r="AP106" s="47">
        <v>587.78</v>
      </c>
      <c r="AQ106" s="47">
        <v>198.51</v>
      </c>
      <c r="AR106" s="47">
        <v>96.8</v>
      </c>
      <c r="AS106" s="46">
        <v>1816</v>
      </c>
      <c r="AT106" s="47">
        <v>184.58</v>
      </c>
      <c r="AU106" s="100">
        <v>62501.61</v>
      </c>
      <c r="AV106" s="130">
        <v>7138.82</v>
      </c>
      <c r="AW106" s="73">
        <v>5516.04</v>
      </c>
      <c r="AX106" s="47">
        <v>566.61</v>
      </c>
      <c r="AY106" s="46">
        <v>5724.01</v>
      </c>
      <c r="AZ106" s="47">
        <v>655.95</v>
      </c>
      <c r="BA106" s="47">
        <v>993.09</v>
      </c>
      <c r="BB106" s="47">
        <v>124.86</v>
      </c>
      <c r="BC106" s="47">
        <v>97.64</v>
      </c>
      <c r="BD106" s="47">
        <v>23.15</v>
      </c>
      <c r="BE106" s="100">
        <v>12330.78</v>
      </c>
      <c r="BF106" s="130">
        <v>1370.57</v>
      </c>
      <c r="BG106" s="73">
        <v>33375.910000000003</v>
      </c>
      <c r="BH106" s="175">
        <v>2031.4</v>
      </c>
      <c r="BI106" s="157">
        <v>152915.37</v>
      </c>
      <c r="BJ106" s="191">
        <v>17304.37</v>
      </c>
      <c r="BK106" s="44"/>
    </row>
    <row r="107" spans="1:63" x14ac:dyDescent="0.25">
      <c r="A107" s="379"/>
      <c r="B107" s="278"/>
      <c r="C107" s="45">
        <v>4</v>
      </c>
      <c r="D107" s="244">
        <v>100</v>
      </c>
      <c r="E107" s="73">
        <v>4674.3999999999996</v>
      </c>
      <c r="F107" s="46">
        <v>1359.21</v>
      </c>
      <c r="G107" s="47">
        <v>55.58</v>
      </c>
      <c r="H107" s="47">
        <v>38.54</v>
      </c>
      <c r="I107" s="47">
        <v>1.36</v>
      </c>
      <c r="J107" s="47">
        <v>1.23</v>
      </c>
      <c r="K107" s="47">
        <v>55.17</v>
      </c>
      <c r="L107" s="47">
        <v>34.229999999999997</v>
      </c>
      <c r="M107" s="46">
        <v>5263.18</v>
      </c>
      <c r="N107" s="46">
        <v>1897.03</v>
      </c>
      <c r="O107" s="100">
        <v>10049.68</v>
      </c>
      <c r="P107" s="130">
        <v>3330.24</v>
      </c>
      <c r="Q107" s="73">
        <v>5254.93</v>
      </c>
      <c r="R107" s="47">
        <v>882.97</v>
      </c>
      <c r="S107" s="47">
        <v>89.94</v>
      </c>
      <c r="T107" s="47">
        <v>28.58</v>
      </c>
      <c r="U107" s="47">
        <v>484.32</v>
      </c>
      <c r="V107" s="47">
        <v>103.05</v>
      </c>
      <c r="W107" s="47">
        <v>0</v>
      </c>
      <c r="X107" s="47">
        <v>0</v>
      </c>
      <c r="Y107" s="100">
        <v>5829.18</v>
      </c>
      <c r="Z107" s="130">
        <v>1014.6</v>
      </c>
      <c r="AA107" s="73">
        <v>13552.6</v>
      </c>
      <c r="AB107" s="47">
        <v>477.36</v>
      </c>
      <c r="AC107" s="46">
        <v>5370.47</v>
      </c>
      <c r="AD107" s="47">
        <v>786.48</v>
      </c>
      <c r="AE107" s="46">
        <v>6189.64</v>
      </c>
      <c r="AF107" s="47">
        <v>277.14</v>
      </c>
      <c r="AG107" s="47">
        <v>373.64</v>
      </c>
      <c r="AH107" s="47">
        <v>75.3</v>
      </c>
      <c r="AI107" s="100">
        <v>25486.34</v>
      </c>
      <c r="AJ107" s="130">
        <v>1616.28</v>
      </c>
      <c r="AK107" s="73">
        <v>44583.42</v>
      </c>
      <c r="AL107" s="46">
        <v>5149.8</v>
      </c>
      <c r="AM107" s="46">
        <v>4088.43</v>
      </c>
      <c r="AN107" s="47">
        <v>286.54000000000002</v>
      </c>
      <c r="AO107" s="46">
        <v>3679.27</v>
      </c>
      <c r="AP107" s="47">
        <v>478.42</v>
      </c>
      <c r="AQ107" s="47">
        <v>69.099999999999994</v>
      </c>
      <c r="AR107" s="47">
        <v>36.47</v>
      </c>
      <c r="AS107" s="46">
        <v>1592.08</v>
      </c>
      <c r="AT107" s="47">
        <v>169.42</v>
      </c>
      <c r="AU107" s="100">
        <v>54012.29</v>
      </c>
      <c r="AV107" s="130">
        <v>6120.64</v>
      </c>
      <c r="AW107" s="73">
        <v>5378.25</v>
      </c>
      <c r="AX107" s="47">
        <v>555.79999999999995</v>
      </c>
      <c r="AY107" s="46">
        <v>5139.87</v>
      </c>
      <c r="AZ107" s="47">
        <v>607.16</v>
      </c>
      <c r="BA107" s="46">
        <v>1112.3</v>
      </c>
      <c r="BB107" s="47">
        <v>137.91999999999999</v>
      </c>
      <c r="BC107" s="47">
        <v>98.35</v>
      </c>
      <c r="BD107" s="47">
        <v>20.9</v>
      </c>
      <c r="BE107" s="100">
        <v>11728.76</v>
      </c>
      <c r="BF107" s="130">
        <v>1321.77</v>
      </c>
      <c r="BG107" s="73">
        <v>29989.46</v>
      </c>
      <c r="BH107" s="175">
        <v>1908.33</v>
      </c>
      <c r="BI107" s="157">
        <v>137095.73000000001</v>
      </c>
      <c r="BJ107" s="191">
        <v>15311.86</v>
      </c>
      <c r="BK107" s="44"/>
    </row>
    <row r="108" spans="1:63" x14ac:dyDescent="0.25">
      <c r="A108" s="379"/>
      <c r="B108" s="278"/>
      <c r="C108" s="45">
        <v>5</v>
      </c>
      <c r="D108" s="244">
        <v>101</v>
      </c>
      <c r="E108" s="73">
        <v>6532.58</v>
      </c>
      <c r="F108" s="46">
        <v>1862.57</v>
      </c>
      <c r="G108" s="47">
        <v>35.619999999999997</v>
      </c>
      <c r="H108" s="47">
        <v>21.39</v>
      </c>
      <c r="I108" s="47">
        <v>0.81</v>
      </c>
      <c r="J108" s="47">
        <v>0.56999999999999995</v>
      </c>
      <c r="K108" s="47">
        <v>58.86</v>
      </c>
      <c r="L108" s="47">
        <v>22.92</v>
      </c>
      <c r="M108" s="46">
        <v>6482.34</v>
      </c>
      <c r="N108" s="46">
        <v>2201.66</v>
      </c>
      <c r="O108" s="100">
        <v>13110.21</v>
      </c>
      <c r="P108" s="130">
        <v>4109.1099999999997</v>
      </c>
      <c r="Q108" s="73">
        <v>4833.57</v>
      </c>
      <c r="R108" s="47">
        <v>857.33</v>
      </c>
      <c r="S108" s="47">
        <v>70.42</v>
      </c>
      <c r="T108" s="47">
        <v>23.59</v>
      </c>
      <c r="U108" s="47">
        <v>588.48</v>
      </c>
      <c r="V108" s="47">
        <v>118.81</v>
      </c>
      <c r="W108" s="47">
        <v>0</v>
      </c>
      <c r="X108" s="47">
        <v>0</v>
      </c>
      <c r="Y108" s="100">
        <v>5492.47</v>
      </c>
      <c r="Z108" s="142">
        <v>999.73</v>
      </c>
      <c r="AA108" s="73">
        <v>13302.23</v>
      </c>
      <c r="AB108" s="47">
        <v>505.43</v>
      </c>
      <c r="AC108" s="46">
        <v>5774.66</v>
      </c>
      <c r="AD108" s="47">
        <v>836.55</v>
      </c>
      <c r="AE108" s="46">
        <v>4724.68</v>
      </c>
      <c r="AF108" s="47">
        <v>221.51</v>
      </c>
      <c r="AG108" s="47">
        <v>377.12</v>
      </c>
      <c r="AH108" s="47">
        <v>75.19</v>
      </c>
      <c r="AI108" s="100">
        <v>24178.69</v>
      </c>
      <c r="AJ108" s="130">
        <v>1638.68</v>
      </c>
      <c r="AK108" s="73">
        <v>48209.98</v>
      </c>
      <c r="AL108" s="46">
        <v>5417.74</v>
      </c>
      <c r="AM108" s="46">
        <v>5920.22</v>
      </c>
      <c r="AN108" s="47">
        <v>410.11</v>
      </c>
      <c r="AO108" s="46">
        <v>4766.4799999999996</v>
      </c>
      <c r="AP108" s="47">
        <v>508.93</v>
      </c>
      <c r="AQ108" s="47">
        <v>119.68</v>
      </c>
      <c r="AR108" s="47">
        <v>73.010000000000005</v>
      </c>
      <c r="AS108" s="46">
        <v>1725.79</v>
      </c>
      <c r="AT108" s="47">
        <v>164.78</v>
      </c>
      <c r="AU108" s="100">
        <v>60742.14</v>
      </c>
      <c r="AV108" s="130">
        <v>6574.57</v>
      </c>
      <c r="AW108" s="73">
        <v>5094.71</v>
      </c>
      <c r="AX108" s="47">
        <v>500.92</v>
      </c>
      <c r="AY108" s="46">
        <v>5272.17</v>
      </c>
      <c r="AZ108" s="47">
        <v>613.77</v>
      </c>
      <c r="BA108" s="47">
        <v>680.09</v>
      </c>
      <c r="BB108" s="47">
        <v>67.3</v>
      </c>
      <c r="BC108" s="47">
        <v>109.83</v>
      </c>
      <c r="BD108" s="47">
        <v>26.24</v>
      </c>
      <c r="BE108" s="100">
        <v>11156.8</v>
      </c>
      <c r="BF108" s="130">
        <v>1208.23</v>
      </c>
      <c r="BG108" s="73">
        <v>29831.03</v>
      </c>
      <c r="BH108" s="175">
        <v>1789.73</v>
      </c>
      <c r="BI108" s="157">
        <v>144511.34</v>
      </c>
      <c r="BJ108" s="191">
        <v>16320.06</v>
      </c>
      <c r="BK108" s="44"/>
    </row>
    <row r="109" spans="1:63" x14ac:dyDescent="0.25">
      <c r="A109" s="379"/>
      <c r="B109" s="278"/>
      <c r="C109" s="45">
        <v>6</v>
      </c>
      <c r="D109" s="244">
        <v>102</v>
      </c>
      <c r="E109" s="73">
        <v>6253.36</v>
      </c>
      <c r="F109" s="46">
        <v>1835.21</v>
      </c>
      <c r="G109" s="47">
        <v>43.4</v>
      </c>
      <c r="H109" s="47">
        <v>32.340000000000003</v>
      </c>
      <c r="I109" s="47">
        <v>0.89</v>
      </c>
      <c r="J109" s="47">
        <v>0.82</v>
      </c>
      <c r="K109" s="47">
        <v>112.43</v>
      </c>
      <c r="L109" s="47">
        <v>39.770000000000003</v>
      </c>
      <c r="M109" s="46">
        <v>6226.06</v>
      </c>
      <c r="N109" s="46">
        <v>2183.6999999999998</v>
      </c>
      <c r="O109" s="100">
        <v>12636.12</v>
      </c>
      <c r="P109" s="130">
        <v>4091.83</v>
      </c>
      <c r="Q109" s="73">
        <v>5316.25</v>
      </c>
      <c r="R109" s="47">
        <v>945.56</v>
      </c>
      <c r="S109" s="47">
        <v>65.58</v>
      </c>
      <c r="T109" s="47">
        <v>20.55</v>
      </c>
      <c r="U109" s="47">
        <v>545.53</v>
      </c>
      <c r="V109" s="47">
        <v>122.29</v>
      </c>
      <c r="W109" s="47">
        <v>0</v>
      </c>
      <c r="X109" s="47">
        <v>0</v>
      </c>
      <c r="Y109" s="100">
        <v>5927.36</v>
      </c>
      <c r="Z109" s="130">
        <v>1088.4100000000001</v>
      </c>
      <c r="AA109" s="73">
        <v>12295.43</v>
      </c>
      <c r="AB109" s="47">
        <v>460.84</v>
      </c>
      <c r="AC109" s="46">
        <v>5333.05</v>
      </c>
      <c r="AD109" s="47">
        <v>801.6</v>
      </c>
      <c r="AE109" s="46">
        <v>5936.85</v>
      </c>
      <c r="AF109" s="47">
        <v>288.43</v>
      </c>
      <c r="AG109" s="47">
        <v>327.19</v>
      </c>
      <c r="AH109" s="47">
        <v>66.77</v>
      </c>
      <c r="AI109" s="100">
        <v>23892.52</v>
      </c>
      <c r="AJ109" s="130">
        <v>1617.64</v>
      </c>
      <c r="AK109" s="73">
        <v>48339.27</v>
      </c>
      <c r="AL109" s="46">
        <v>5552.83</v>
      </c>
      <c r="AM109" s="46">
        <v>6710.85</v>
      </c>
      <c r="AN109" s="47">
        <v>462.02</v>
      </c>
      <c r="AO109" s="46">
        <v>5412.12</v>
      </c>
      <c r="AP109" s="47">
        <v>668.86</v>
      </c>
      <c r="AQ109" s="47">
        <v>117.17</v>
      </c>
      <c r="AR109" s="47">
        <v>80.13</v>
      </c>
      <c r="AS109" s="46">
        <v>1961.3</v>
      </c>
      <c r="AT109" s="47">
        <v>209.48</v>
      </c>
      <c r="AU109" s="100">
        <v>62540.71</v>
      </c>
      <c r="AV109" s="130">
        <v>6973.32</v>
      </c>
      <c r="AW109" s="73">
        <v>5526.33</v>
      </c>
      <c r="AX109" s="47">
        <v>559.85</v>
      </c>
      <c r="AY109" s="46">
        <v>5384.17</v>
      </c>
      <c r="AZ109" s="47">
        <v>653.61</v>
      </c>
      <c r="BA109" s="46">
        <v>1036.78</v>
      </c>
      <c r="BB109" s="47">
        <v>128.47999999999999</v>
      </c>
      <c r="BC109" s="47">
        <v>107.95</v>
      </c>
      <c r="BD109" s="47">
        <v>20.100000000000001</v>
      </c>
      <c r="BE109" s="100">
        <v>12055.22</v>
      </c>
      <c r="BF109" s="130">
        <v>1362.04</v>
      </c>
      <c r="BG109" s="73">
        <v>25256.74</v>
      </c>
      <c r="BH109" s="175">
        <v>1734.39</v>
      </c>
      <c r="BI109" s="157">
        <v>142308.66</v>
      </c>
      <c r="BJ109" s="191">
        <v>16867.64</v>
      </c>
      <c r="BK109" s="44"/>
    </row>
    <row r="110" spans="1:63" x14ac:dyDescent="0.25">
      <c r="A110" s="379"/>
      <c r="B110" s="278"/>
      <c r="C110" s="45">
        <v>7</v>
      </c>
      <c r="D110" s="244">
        <v>103</v>
      </c>
      <c r="E110" s="73">
        <v>6183.56</v>
      </c>
      <c r="F110" s="46">
        <v>1876.06</v>
      </c>
      <c r="G110" s="47">
        <v>33.94</v>
      </c>
      <c r="H110" s="47">
        <v>26.46</v>
      </c>
      <c r="I110" s="47">
        <v>1.04</v>
      </c>
      <c r="J110" s="47">
        <v>0.91</v>
      </c>
      <c r="K110" s="47">
        <v>108.55</v>
      </c>
      <c r="L110" s="47">
        <v>34.68</v>
      </c>
      <c r="M110" s="46">
        <v>7305.43</v>
      </c>
      <c r="N110" s="46">
        <v>2508.02</v>
      </c>
      <c r="O110" s="100">
        <v>13632.52</v>
      </c>
      <c r="P110" s="130">
        <v>4446.1400000000003</v>
      </c>
      <c r="Q110" s="73">
        <v>4644.88</v>
      </c>
      <c r="R110" s="47">
        <v>835.17</v>
      </c>
      <c r="S110" s="47">
        <v>43.09</v>
      </c>
      <c r="T110" s="47">
        <v>14.71</v>
      </c>
      <c r="U110" s="47">
        <v>621.54999999999995</v>
      </c>
      <c r="V110" s="47">
        <v>138.12</v>
      </c>
      <c r="W110" s="47">
        <v>0</v>
      </c>
      <c r="X110" s="47">
        <v>0</v>
      </c>
      <c r="Y110" s="100">
        <v>5309.52</v>
      </c>
      <c r="Z110" s="142">
        <v>988</v>
      </c>
      <c r="AA110" s="73">
        <v>11977.85</v>
      </c>
      <c r="AB110" s="47">
        <v>533.91999999999996</v>
      </c>
      <c r="AC110" s="46">
        <v>5742.68</v>
      </c>
      <c r="AD110" s="47">
        <v>831.34</v>
      </c>
      <c r="AE110" s="46">
        <v>2488.7399999999998</v>
      </c>
      <c r="AF110" s="47">
        <v>152.38999999999999</v>
      </c>
      <c r="AG110" s="47">
        <v>339.05</v>
      </c>
      <c r="AH110" s="47">
        <v>67.75</v>
      </c>
      <c r="AI110" s="100">
        <v>20548.32</v>
      </c>
      <c r="AJ110" s="130">
        <v>1585.4</v>
      </c>
      <c r="AK110" s="73">
        <v>47740.35</v>
      </c>
      <c r="AL110" s="46">
        <v>5672.83</v>
      </c>
      <c r="AM110" s="46">
        <v>4733.8500000000004</v>
      </c>
      <c r="AN110" s="47">
        <v>354.85</v>
      </c>
      <c r="AO110" s="46">
        <v>4417.34</v>
      </c>
      <c r="AP110" s="47">
        <v>627.72</v>
      </c>
      <c r="AQ110" s="47">
        <v>194.22</v>
      </c>
      <c r="AR110" s="47">
        <v>115.54</v>
      </c>
      <c r="AS110" s="46">
        <v>2229.0100000000002</v>
      </c>
      <c r="AT110" s="47">
        <v>222.62</v>
      </c>
      <c r="AU110" s="100">
        <v>59314.77</v>
      </c>
      <c r="AV110" s="130">
        <v>6993.56</v>
      </c>
      <c r="AW110" s="73">
        <v>5394.09</v>
      </c>
      <c r="AX110" s="47">
        <v>586.69000000000005</v>
      </c>
      <c r="AY110" s="46">
        <v>5446.14</v>
      </c>
      <c r="AZ110" s="47">
        <v>671.08</v>
      </c>
      <c r="BA110" s="46">
        <v>1244.71</v>
      </c>
      <c r="BB110" s="47">
        <v>156.63</v>
      </c>
      <c r="BC110" s="47">
        <v>123.39</v>
      </c>
      <c r="BD110" s="47">
        <v>34.74</v>
      </c>
      <c r="BE110" s="100">
        <v>12208.34</v>
      </c>
      <c r="BF110" s="130">
        <v>1449.15</v>
      </c>
      <c r="BG110" s="73">
        <v>26324.720000000001</v>
      </c>
      <c r="BH110" s="175">
        <v>1683.58</v>
      </c>
      <c r="BI110" s="157">
        <v>137338.18</v>
      </c>
      <c r="BJ110" s="191">
        <v>17145.830000000002</v>
      </c>
      <c r="BK110" s="44"/>
    </row>
    <row r="111" spans="1:63" x14ac:dyDescent="0.25">
      <c r="A111" s="379"/>
      <c r="B111" s="278"/>
      <c r="C111" s="45">
        <v>8</v>
      </c>
      <c r="D111" s="244">
        <v>104</v>
      </c>
      <c r="E111" s="73">
        <v>6328.21</v>
      </c>
      <c r="F111" s="46">
        <v>1921.76</v>
      </c>
      <c r="G111" s="47">
        <v>25.6</v>
      </c>
      <c r="H111" s="47">
        <v>17.059999999999999</v>
      </c>
      <c r="I111" s="47">
        <v>7.0000000000000007E-2</v>
      </c>
      <c r="J111" s="47">
        <v>0.12</v>
      </c>
      <c r="K111" s="47">
        <v>84.21</v>
      </c>
      <c r="L111" s="47">
        <v>15.28</v>
      </c>
      <c r="M111" s="46">
        <v>7990.32</v>
      </c>
      <c r="N111" s="46">
        <v>3210.33</v>
      </c>
      <c r="O111" s="100">
        <v>14428.41</v>
      </c>
      <c r="P111" s="130">
        <v>5164.54</v>
      </c>
      <c r="Q111" s="73">
        <v>3704.11</v>
      </c>
      <c r="R111" s="47">
        <v>654.30999999999995</v>
      </c>
      <c r="S111" s="47">
        <v>32.39</v>
      </c>
      <c r="T111" s="47">
        <v>14.09</v>
      </c>
      <c r="U111" s="47">
        <v>503.67</v>
      </c>
      <c r="V111" s="47">
        <v>109.77</v>
      </c>
      <c r="W111" s="47">
        <v>0</v>
      </c>
      <c r="X111" s="47">
        <v>0</v>
      </c>
      <c r="Y111" s="100">
        <v>4240.17</v>
      </c>
      <c r="Z111" s="142">
        <v>778.17</v>
      </c>
      <c r="AA111" s="73">
        <v>11770.01</v>
      </c>
      <c r="AB111" s="47">
        <v>543.04</v>
      </c>
      <c r="AC111" s="46">
        <v>4835.38</v>
      </c>
      <c r="AD111" s="47">
        <v>834.2</v>
      </c>
      <c r="AE111" s="46">
        <v>3809.65</v>
      </c>
      <c r="AF111" s="47">
        <v>271.45999999999998</v>
      </c>
      <c r="AG111" s="47">
        <v>351.04</v>
      </c>
      <c r="AH111" s="47">
        <v>67.52</v>
      </c>
      <c r="AI111" s="100">
        <v>20766.07</v>
      </c>
      <c r="AJ111" s="130">
        <v>1716.22</v>
      </c>
      <c r="AK111" s="73">
        <v>43282.720000000001</v>
      </c>
      <c r="AL111" s="46">
        <v>5147.01</v>
      </c>
      <c r="AM111" s="46">
        <v>6001.07</v>
      </c>
      <c r="AN111" s="47">
        <v>433.79</v>
      </c>
      <c r="AO111" s="46">
        <v>4178.63</v>
      </c>
      <c r="AP111" s="47">
        <v>519.77</v>
      </c>
      <c r="AQ111" s="47">
        <v>127.94</v>
      </c>
      <c r="AR111" s="47">
        <v>65.62</v>
      </c>
      <c r="AS111" s="46">
        <v>1983.99</v>
      </c>
      <c r="AT111" s="47">
        <v>228.24</v>
      </c>
      <c r="AU111" s="100">
        <v>55574.35</v>
      </c>
      <c r="AV111" s="130">
        <v>6394.43</v>
      </c>
      <c r="AW111" s="73">
        <v>5713.95</v>
      </c>
      <c r="AX111" s="47">
        <v>601.65</v>
      </c>
      <c r="AY111" s="46">
        <v>5875.28</v>
      </c>
      <c r="AZ111" s="47">
        <v>739.29</v>
      </c>
      <c r="BA111" s="47">
        <v>783.49</v>
      </c>
      <c r="BB111" s="47">
        <v>108.84</v>
      </c>
      <c r="BC111" s="47">
        <v>185</v>
      </c>
      <c r="BD111" s="47">
        <v>48.93</v>
      </c>
      <c r="BE111" s="100">
        <v>12557.73</v>
      </c>
      <c r="BF111" s="130">
        <v>1498.71</v>
      </c>
      <c r="BG111" s="73">
        <v>23874.91</v>
      </c>
      <c r="BH111" s="175">
        <v>1548.64</v>
      </c>
      <c r="BI111" s="157">
        <v>131441.63</v>
      </c>
      <c r="BJ111" s="191">
        <v>17100.71</v>
      </c>
      <c r="BK111" s="44"/>
    </row>
    <row r="112" spans="1:63" x14ac:dyDescent="0.25">
      <c r="A112" s="379"/>
      <c r="B112" s="278"/>
      <c r="C112" s="45">
        <v>9</v>
      </c>
      <c r="D112" s="244">
        <v>105</v>
      </c>
      <c r="E112" s="73">
        <v>7796.22</v>
      </c>
      <c r="F112" s="46">
        <v>2385.89</v>
      </c>
      <c r="G112" s="47">
        <v>32.51</v>
      </c>
      <c r="H112" s="47">
        <v>24.5</v>
      </c>
      <c r="I112" s="47">
        <v>7.0000000000000007E-2</v>
      </c>
      <c r="J112" s="47">
        <v>0.13</v>
      </c>
      <c r="K112" s="47">
        <v>55.04</v>
      </c>
      <c r="L112" s="47">
        <v>32.83</v>
      </c>
      <c r="M112" s="46">
        <v>9664.06</v>
      </c>
      <c r="N112" s="46">
        <v>3650.87</v>
      </c>
      <c r="O112" s="100">
        <v>17547.900000000001</v>
      </c>
      <c r="P112" s="130">
        <v>6094.23</v>
      </c>
      <c r="Q112" s="73">
        <v>4303.25</v>
      </c>
      <c r="R112" s="47">
        <v>832.6</v>
      </c>
      <c r="S112" s="47">
        <v>57.8</v>
      </c>
      <c r="T112" s="47">
        <v>32.659999999999997</v>
      </c>
      <c r="U112" s="47">
        <v>709.89</v>
      </c>
      <c r="V112" s="47">
        <v>166.54</v>
      </c>
      <c r="W112" s="47">
        <v>0</v>
      </c>
      <c r="X112" s="47">
        <v>0</v>
      </c>
      <c r="Y112" s="100">
        <v>5070.9399999999996</v>
      </c>
      <c r="Z112" s="130">
        <v>1031.8</v>
      </c>
      <c r="AA112" s="73">
        <v>10621</v>
      </c>
      <c r="AB112" s="47">
        <v>484.83</v>
      </c>
      <c r="AC112" s="46">
        <v>5074.45</v>
      </c>
      <c r="AD112" s="47">
        <v>784.05</v>
      </c>
      <c r="AE112" s="46">
        <v>3760.33</v>
      </c>
      <c r="AF112" s="47">
        <v>288.29000000000002</v>
      </c>
      <c r="AG112" s="47">
        <v>389.61</v>
      </c>
      <c r="AH112" s="47">
        <v>73.989999999999995</v>
      </c>
      <c r="AI112" s="100">
        <v>19845.39</v>
      </c>
      <c r="AJ112" s="130">
        <v>1631.16</v>
      </c>
      <c r="AK112" s="73">
        <v>45596.27</v>
      </c>
      <c r="AL112" s="46">
        <v>5659.63</v>
      </c>
      <c r="AM112" s="46">
        <v>6167.7</v>
      </c>
      <c r="AN112" s="47">
        <v>485.38</v>
      </c>
      <c r="AO112" s="46">
        <v>4355.8599999999997</v>
      </c>
      <c r="AP112" s="47">
        <v>567.09</v>
      </c>
      <c r="AQ112" s="47">
        <v>184.6</v>
      </c>
      <c r="AR112" s="47">
        <v>120.32</v>
      </c>
      <c r="AS112" s="46">
        <v>1837.69</v>
      </c>
      <c r="AT112" s="47">
        <v>211.04</v>
      </c>
      <c r="AU112" s="100">
        <v>58142.12</v>
      </c>
      <c r="AV112" s="130">
        <v>7043.45</v>
      </c>
      <c r="AW112" s="73">
        <v>5608.22</v>
      </c>
      <c r="AX112" s="47">
        <v>602.82000000000005</v>
      </c>
      <c r="AY112" s="46">
        <v>6111.18</v>
      </c>
      <c r="AZ112" s="47">
        <v>763.13</v>
      </c>
      <c r="BA112" s="47">
        <v>698.9</v>
      </c>
      <c r="BB112" s="47">
        <v>83.6</v>
      </c>
      <c r="BC112" s="47">
        <v>210.16</v>
      </c>
      <c r="BD112" s="47">
        <v>60</v>
      </c>
      <c r="BE112" s="100">
        <v>12628.47</v>
      </c>
      <c r="BF112" s="130">
        <v>1509.56</v>
      </c>
      <c r="BG112" s="73">
        <v>22263.68</v>
      </c>
      <c r="BH112" s="175">
        <v>1537.89</v>
      </c>
      <c r="BI112" s="157">
        <v>135498.5</v>
      </c>
      <c r="BJ112" s="191">
        <v>18848.080000000002</v>
      </c>
      <c r="BK112" s="44"/>
    </row>
    <row r="113" spans="1:63" x14ac:dyDescent="0.25">
      <c r="A113" s="379"/>
      <c r="B113" s="278"/>
      <c r="C113" s="45">
        <v>10</v>
      </c>
      <c r="D113" s="244">
        <v>106</v>
      </c>
      <c r="E113" s="73">
        <v>9499.8700000000008</v>
      </c>
      <c r="F113" s="46">
        <v>2824.92</v>
      </c>
      <c r="G113" s="47">
        <v>40.880000000000003</v>
      </c>
      <c r="H113" s="47">
        <v>32.22</v>
      </c>
      <c r="I113" s="47">
        <v>1.62</v>
      </c>
      <c r="J113" s="47">
        <v>1.1599999999999999</v>
      </c>
      <c r="K113" s="47">
        <v>106.44</v>
      </c>
      <c r="L113" s="47">
        <v>31.93</v>
      </c>
      <c r="M113" s="46">
        <v>10199.82</v>
      </c>
      <c r="N113" s="46">
        <v>3859.25</v>
      </c>
      <c r="O113" s="100">
        <v>19848.62</v>
      </c>
      <c r="P113" s="130">
        <v>6749.48</v>
      </c>
      <c r="Q113" s="73">
        <v>4250.22</v>
      </c>
      <c r="R113" s="47">
        <v>853.11</v>
      </c>
      <c r="S113" s="47">
        <v>30.53</v>
      </c>
      <c r="T113" s="47">
        <v>18.98</v>
      </c>
      <c r="U113" s="47">
        <v>658.32</v>
      </c>
      <c r="V113" s="47">
        <v>145.97</v>
      </c>
      <c r="W113" s="47">
        <v>0</v>
      </c>
      <c r="X113" s="47">
        <v>0</v>
      </c>
      <c r="Y113" s="100">
        <v>4939.0600000000004</v>
      </c>
      <c r="Z113" s="130">
        <v>1018.05</v>
      </c>
      <c r="AA113" s="73">
        <v>10866.44</v>
      </c>
      <c r="AB113" s="47">
        <v>408.41</v>
      </c>
      <c r="AC113" s="46">
        <v>5951.51</v>
      </c>
      <c r="AD113" s="47">
        <v>966.98</v>
      </c>
      <c r="AE113" s="46">
        <v>4284.43</v>
      </c>
      <c r="AF113" s="47">
        <v>283.37</v>
      </c>
      <c r="AG113" s="47">
        <v>325.47000000000003</v>
      </c>
      <c r="AH113" s="47">
        <v>72.319999999999993</v>
      </c>
      <c r="AI113" s="100">
        <v>21427.84</v>
      </c>
      <c r="AJ113" s="130">
        <v>1731.08</v>
      </c>
      <c r="AK113" s="73">
        <v>41742.36</v>
      </c>
      <c r="AL113" s="46">
        <v>5334.72</v>
      </c>
      <c r="AM113" s="46">
        <v>6987.46</v>
      </c>
      <c r="AN113" s="47">
        <v>536.4</v>
      </c>
      <c r="AO113" s="46">
        <v>4534.29</v>
      </c>
      <c r="AP113" s="47">
        <v>564.32000000000005</v>
      </c>
      <c r="AQ113" s="47">
        <v>181.15</v>
      </c>
      <c r="AR113" s="47">
        <v>111.87</v>
      </c>
      <c r="AS113" s="46">
        <v>1937.36</v>
      </c>
      <c r="AT113" s="47">
        <v>196.37</v>
      </c>
      <c r="AU113" s="100">
        <v>55382.62</v>
      </c>
      <c r="AV113" s="130">
        <v>6743.67</v>
      </c>
      <c r="AW113" s="73">
        <v>5753.63</v>
      </c>
      <c r="AX113" s="47">
        <v>640.54</v>
      </c>
      <c r="AY113" s="46">
        <v>5722.02</v>
      </c>
      <c r="AZ113" s="47">
        <v>718.78</v>
      </c>
      <c r="BA113" s="47">
        <v>824.6</v>
      </c>
      <c r="BB113" s="47">
        <v>106.73</v>
      </c>
      <c r="BC113" s="47">
        <v>196.17</v>
      </c>
      <c r="BD113" s="47">
        <v>62.68</v>
      </c>
      <c r="BE113" s="100">
        <v>12496.42</v>
      </c>
      <c r="BF113" s="130">
        <v>1528.72</v>
      </c>
      <c r="BG113" s="73">
        <v>24743.77</v>
      </c>
      <c r="BH113" s="175">
        <v>1619.87</v>
      </c>
      <c r="BI113" s="157">
        <v>138838.32</v>
      </c>
      <c r="BJ113" s="191">
        <v>19390.88</v>
      </c>
      <c r="BK113" s="44"/>
    </row>
    <row r="114" spans="1:63" x14ac:dyDescent="0.25">
      <c r="A114" s="379"/>
      <c r="B114" s="278"/>
      <c r="C114" s="45">
        <v>11</v>
      </c>
      <c r="D114" s="244">
        <v>107</v>
      </c>
      <c r="E114" s="73">
        <v>9746.6299999999992</v>
      </c>
      <c r="F114" s="46">
        <v>2794.62</v>
      </c>
      <c r="G114" s="47">
        <v>31.48</v>
      </c>
      <c r="H114" s="47">
        <v>24.58</v>
      </c>
      <c r="I114" s="47">
        <v>0.11</v>
      </c>
      <c r="J114" s="47">
        <v>0.13</v>
      </c>
      <c r="K114" s="47">
        <v>79.19</v>
      </c>
      <c r="L114" s="47">
        <v>31.01</v>
      </c>
      <c r="M114" s="46">
        <v>8521.14</v>
      </c>
      <c r="N114" s="46">
        <v>3086.01</v>
      </c>
      <c r="O114" s="100">
        <v>18378.55</v>
      </c>
      <c r="P114" s="130">
        <v>5936.35</v>
      </c>
      <c r="Q114" s="73">
        <v>4414.6899999999996</v>
      </c>
      <c r="R114" s="47">
        <v>820.14</v>
      </c>
      <c r="S114" s="47">
        <v>53.61</v>
      </c>
      <c r="T114" s="47">
        <v>22.68</v>
      </c>
      <c r="U114" s="47">
        <v>607.88</v>
      </c>
      <c r="V114" s="47">
        <v>149.87</v>
      </c>
      <c r="W114" s="47">
        <v>0</v>
      </c>
      <c r="X114" s="47">
        <v>0</v>
      </c>
      <c r="Y114" s="100">
        <v>5076.18</v>
      </c>
      <c r="Z114" s="142">
        <v>992.7</v>
      </c>
      <c r="AA114" s="73">
        <v>11722.67</v>
      </c>
      <c r="AB114" s="47">
        <v>421.51</v>
      </c>
      <c r="AC114" s="46">
        <v>5349.68</v>
      </c>
      <c r="AD114" s="47">
        <v>861.03</v>
      </c>
      <c r="AE114" s="46">
        <v>4280.05</v>
      </c>
      <c r="AF114" s="47">
        <v>250.72</v>
      </c>
      <c r="AG114" s="47">
        <v>317.82</v>
      </c>
      <c r="AH114" s="47">
        <v>72.150000000000006</v>
      </c>
      <c r="AI114" s="100">
        <v>21670.23</v>
      </c>
      <c r="AJ114" s="130">
        <v>1605.41</v>
      </c>
      <c r="AK114" s="73">
        <v>47707.34</v>
      </c>
      <c r="AL114" s="46">
        <v>5792.6</v>
      </c>
      <c r="AM114" s="46">
        <v>5807.97</v>
      </c>
      <c r="AN114" s="47">
        <v>449.75</v>
      </c>
      <c r="AO114" s="46">
        <v>4809</v>
      </c>
      <c r="AP114" s="47">
        <v>643.58000000000004</v>
      </c>
      <c r="AQ114" s="47">
        <v>187.69</v>
      </c>
      <c r="AR114" s="47">
        <v>104.28</v>
      </c>
      <c r="AS114" s="46">
        <v>2077.4299999999998</v>
      </c>
      <c r="AT114" s="47">
        <v>209.6</v>
      </c>
      <c r="AU114" s="100">
        <v>60589.43</v>
      </c>
      <c r="AV114" s="130">
        <v>7199.82</v>
      </c>
      <c r="AW114" s="73">
        <v>5259.23</v>
      </c>
      <c r="AX114" s="47">
        <v>562.70000000000005</v>
      </c>
      <c r="AY114" s="46">
        <v>5551.78</v>
      </c>
      <c r="AZ114" s="47">
        <v>722.96</v>
      </c>
      <c r="BA114" s="47">
        <v>526.57000000000005</v>
      </c>
      <c r="BB114" s="47">
        <v>56.74</v>
      </c>
      <c r="BC114" s="47">
        <v>163.72</v>
      </c>
      <c r="BD114" s="47">
        <v>37.1</v>
      </c>
      <c r="BE114" s="100">
        <v>11501.3</v>
      </c>
      <c r="BF114" s="130">
        <v>1379.5</v>
      </c>
      <c r="BG114" s="73">
        <v>28466.3</v>
      </c>
      <c r="BH114" s="175">
        <v>1806.52</v>
      </c>
      <c r="BI114" s="157">
        <v>145681.98000000001</v>
      </c>
      <c r="BJ114" s="191">
        <v>18920.3</v>
      </c>
      <c r="BK114" s="44"/>
    </row>
    <row r="115" spans="1:63" x14ac:dyDescent="0.25">
      <c r="A115" s="380"/>
      <c r="B115" s="279"/>
      <c r="C115" s="45">
        <v>12</v>
      </c>
      <c r="D115" s="244">
        <v>108</v>
      </c>
      <c r="E115" s="73">
        <v>10156.58</v>
      </c>
      <c r="F115" s="46">
        <v>2968.27</v>
      </c>
      <c r="G115" s="47">
        <v>56.47</v>
      </c>
      <c r="H115" s="47">
        <v>43.14</v>
      </c>
      <c r="I115" s="47">
        <v>0.6</v>
      </c>
      <c r="J115" s="47">
        <v>0.56000000000000005</v>
      </c>
      <c r="K115" s="47">
        <v>110.76</v>
      </c>
      <c r="L115" s="47">
        <v>42.27</v>
      </c>
      <c r="M115" s="46">
        <v>7029.4</v>
      </c>
      <c r="N115" s="46">
        <v>2545.88</v>
      </c>
      <c r="O115" s="100">
        <v>17353.810000000001</v>
      </c>
      <c r="P115" s="130">
        <v>5600.12</v>
      </c>
      <c r="Q115" s="73">
        <v>5414.03</v>
      </c>
      <c r="R115" s="47">
        <v>893.86</v>
      </c>
      <c r="S115" s="47">
        <v>66.17</v>
      </c>
      <c r="T115" s="47">
        <v>34.21</v>
      </c>
      <c r="U115" s="47">
        <v>556.78</v>
      </c>
      <c r="V115" s="47">
        <v>136.51</v>
      </c>
      <c r="W115" s="47">
        <v>0</v>
      </c>
      <c r="X115" s="47">
        <v>0</v>
      </c>
      <c r="Y115" s="100">
        <v>6036.98</v>
      </c>
      <c r="Z115" s="130">
        <v>1064.58</v>
      </c>
      <c r="AA115" s="73">
        <v>12170.33</v>
      </c>
      <c r="AB115" s="47">
        <v>504.51</v>
      </c>
      <c r="AC115" s="46">
        <v>5601.77</v>
      </c>
      <c r="AD115" s="47">
        <v>900.12</v>
      </c>
      <c r="AE115" s="46">
        <v>3584.15</v>
      </c>
      <c r="AF115" s="47">
        <v>222.18</v>
      </c>
      <c r="AG115" s="47">
        <v>367.79</v>
      </c>
      <c r="AH115" s="47">
        <v>78.77</v>
      </c>
      <c r="AI115" s="100">
        <v>21724.03</v>
      </c>
      <c r="AJ115" s="130">
        <v>1705.58</v>
      </c>
      <c r="AK115" s="73">
        <v>49944.29</v>
      </c>
      <c r="AL115" s="46">
        <v>6142.98</v>
      </c>
      <c r="AM115" s="46">
        <v>7369.74</v>
      </c>
      <c r="AN115" s="47">
        <v>565.22</v>
      </c>
      <c r="AO115" s="46">
        <v>4268.2</v>
      </c>
      <c r="AP115" s="47">
        <v>598.28</v>
      </c>
      <c r="AQ115" s="47">
        <v>172.28</v>
      </c>
      <c r="AR115" s="47">
        <v>96.22</v>
      </c>
      <c r="AS115" s="46">
        <v>2018.55</v>
      </c>
      <c r="AT115" s="47">
        <v>232.05</v>
      </c>
      <c r="AU115" s="100">
        <v>63773.07</v>
      </c>
      <c r="AV115" s="130">
        <v>7634.76</v>
      </c>
      <c r="AW115" s="73">
        <v>5202.97</v>
      </c>
      <c r="AX115" s="47">
        <v>531.4</v>
      </c>
      <c r="AY115" s="46">
        <v>5783.04</v>
      </c>
      <c r="AZ115" s="47">
        <v>736.34</v>
      </c>
      <c r="BA115" s="47">
        <v>211.32</v>
      </c>
      <c r="BB115" s="47">
        <v>19.87</v>
      </c>
      <c r="BC115" s="47">
        <v>178.75</v>
      </c>
      <c r="BD115" s="47">
        <v>52.69</v>
      </c>
      <c r="BE115" s="100">
        <v>11376.09</v>
      </c>
      <c r="BF115" s="130">
        <v>1340.31</v>
      </c>
      <c r="BG115" s="73">
        <v>25524.26</v>
      </c>
      <c r="BH115" s="175">
        <v>1704.89</v>
      </c>
      <c r="BI115" s="157">
        <v>145788.24</v>
      </c>
      <c r="BJ115" s="191">
        <v>19050.240000000002</v>
      </c>
      <c r="BK115" s="44"/>
    </row>
    <row r="116" spans="1:63" x14ac:dyDescent="0.25">
      <c r="A116" s="381">
        <v>2559</v>
      </c>
      <c r="B116" s="384">
        <v>2016</v>
      </c>
      <c r="C116" s="48">
        <v>1</v>
      </c>
      <c r="D116" s="245">
        <v>109</v>
      </c>
      <c r="E116" s="119">
        <v>8177.3</v>
      </c>
      <c r="F116" s="49">
        <v>2301.54</v>
      </c>
      <c r="G116" s="50">
        <v>59.85</v>
      </c>
      <c r="H116" s="50">
        <v>48.12</v>
      </c>
      <c r="I116" s="50">
        <v>1.68</v>
      </c>
      <c r="J116" s="50">
        <v>1.46</v>
      </c>
      <c r="K116" s="50">
        <v>94.69</v>
      </c>
      <c r="L116" s="50">
        <v>26.31</v>
      </c>
      <c r="M116" s="49">
        <v>5339.76</v>
      </c>
      <c r="N116" s="49">
        <v>1926.46</v>
      </c>
      <c r="O116" s="101">
        <v>13673.27</v>
      </c>
      <c r="P116" s="131">
        <v>4303.88</v>
      </c>
      <c r="Q116" s="119">
        <v>3721.53</v>
      </c>
      <c r="R116" s="50">
        <v>664.22</v>
      </c>
      <c r="S116" s="50">
        <v>28.06</v>
      </c>
      <c r="T116" s="50">
        <v>9.4600000000000009</v>
      </c>
      <c r="U116" s="50">
        <v>415.73</v>
      </c>
      <c r="V116" s="50">
        <v>102.39</v>
      </c>
      <c r="W116" s="50">
        <v>0</v>
      </c>
      <c r="X116" s="50">
        <v>0</v>
      </c>
      <c r="Y116" s="101">
        <v>4165.3100000000004</v>
      </c>
      <c r="Z116" s="143">
        <v>776.06</v>
      </c>
      <c r="AA116" s="119">
        <v>10571.22</v>
      </c>
      <c r="AB116" s="50">
        <v>455.15</v>
      </c>
      <c r="AC116" s="49">
        <v>5478.24</v>
      </c>
      <c r="AD116" s="50">
        <v>908.32</v>
      </c>
      <c r="AE116" s="49">
        <v>3032.71</v>
      </c>
      <c r="AF116" s="50">
        <v>212.58</v>
      </c>
      <c r="AG116" s="50">
        <v>382.2</v>
      </c>
      <c r="AH116" s="50">
        <v>86.39</v>
      </c>
      <c r="AI116" s="101">
        <v>19464.37</v>
      </c>
      <c r="AJ116" s="131">
        <v>1662.44</v>
      </c>
      <c r="AK116" s="119">
        <v>40483.17</v>
      </c>
      <c r="AL116" s="49">
        <v>4934.75</v>
      </c>
      <c r="AM116" s="49">
        <v>4665.25</v>
      </c>
      <c r="AN116" s="50">
        <v>383.33</v>
      </c>
      <c r="AO116" s="49">
        <v>3133.19</v>
      </c>
      <c r="AP116" s="50">
        <v>441.52</v>
      </c>
      <c r="AQ116" s="50">
        <v>94.23</v>
      </c>
      <c r="AR116" s="50">
        <v>44.96</v>
      </c>
      <c r="AS116" s="49">
        <v>1535.34</v>
      </c>
      <c r="AT116" s="50">
        <v>159.55000000000001</v>
      </c>
      <c r="AU116" s="101">
        <v>49911.17</v>
      </c>
      <c r="AV116" s="131">
        <v>5964.12</v>
      </c>
      <c r="AW116" s="119">
        <v>5255.51</v>
      </c>
      <c r="AX116" s="50">
        <v>536.16</v>
      </c>
      <c r="AY116" s="49">
        <v>4411.9799999999996</v>
      </c>
      <c r="AZ116" s="50">
        <v>566.24</v>
      </c>
      <c r="BA116" s="50">
        <v>625.77</v>
      </c>
      <c r="BB116" s="50">
        <v>75.22</v>
      </c>
      <c r="BC116" s="50">
        <v>114.58</v>
      </c>
      <c r="BD116" s="50">
        <v>18.23</v>
      </c>
      <c r="BE116" s="101">
        <v>10407.85</v>
      </c>
      <c r="BF116" s="131">
        <v>1195.8599999999999</v>
      </c>
      <c r="BG116" s="119">
        <v>19839.740000000002</v>
      </c>
      <c r="BH116" s="176">
        <v>1303.5899999999999</v>
      </c>
      <c r="BI116" s="158">
        <v>117461.7</v>
      </c>
      <c r="BJ116" s="192">
        <v>15205.95</v>
      </c>
    </row>
    <row r="117" spans="1:63" x14ac:dyDescent="0.25">
      <c r="A117" s="382"/>
      <c r="B117" s="385"/>
      <c r="C117" s="48">
        <v>2</v>
      </c>
      <c r="D117" s="245">
        <v>110</v>
      </c>
      <c r="E117" s="119">
        <v>7279.35</v>
      </c>
      <c r="F117" s="49">
        <v>2136.59</v>
      </c>
      <c r="G117" s="50">
        <v>23.85</v>
      </c>
      <c r="H117" s="50">
        <v>18.77</v>
      </c>
      <c r="I117" s="50">
        <v>0.08</v>
      </c>
      <c r="J117" s="50">
        <v>0.14000000000000001</v>
      </c>
      <c r="K117" s="50">
        <v>119.45</v>
      </c>
      <c r="L117" s="50">
        <v>23.92</v>
      </c>
      <c r="M117" s="49">
        <v>4992.1899999999996</v>
      </c>
      <c r="N117" s="49">
        <v>1827.4</v>
      </c>
      <c r="O117" s="101">
        <v>12414.92</v>
      </c>
      <c r="P117" s="131">
        <v>4006.82</v>
      </c>
      <c r="Q117" s="119">
        <v>2469.39</v>
      </c>
      <c r="R117" s="50">
        <v>537.24</v>
      </c>
      <c r="S117" s="50">
        <v>53.5</v>
      </c>
      <c r="T117" s="50">
        <v>39.31</v>
      </c>
      <c r="U117" s="50">
        <v>500.18</v>
      </c>
      <c r="V117" s="50">
        <v>91.84</v>
      </c>
      <c r="W117" s="50">
        <v>0</v>
      </c>
      <c r="X117" s="50">
        <v>0</v>
      </c>
      <c r="Y117" s="101">
        <v>3023.06</v>
      </c>
      <c r="Z117" s="143">
        <v>668.39</v>
      </c>
      <c r="AA117" s="119">
        <v>10910.01</v>
      </c>
      <c r="AB117" s="50">
        <v>487.89</v>
      </c>
      <c r="AC117" s="49">
        <v>4748.3</v>
      </c>
      <c r="AD117" s="50">
        <v>783.8</v>
      </c>
      <c r="AE117" s="49">
        <v>4126.09</v>
      </c>
      <c r="AF117" s="50">
        <v>336.55</v>
      </c>
      <c r="AG117" s="50">
        <v>419.05</v>
      </c>
      <c r="AH117" s="50">
        <v>86.02</v>
      </c>
      <c r="AI117" s="101">
        <v>20203.45</v>
      </c>
      <c r="AJ117" s="131">
        <v>1694.26</v>
      </c>
      <c r="AK117" s="119">
        <v>47311.87</v>
      </c>
      <c r="AL117" s="49">
        <v>5645.74</v>
      </c>
      <c r="AM117" s="49">
        <v>4896.96</v>
      </c>
      <c r="AN117" s="50">
        <v>376.6</v>
      </c>
      <c r="AO117" s="49">
        <v>3555.37</v>
      </c>
      <c r="AP117" s="50">
        <v>474.71</v>
      </c>
      <c r="AQ117" s="50">
        <v>101.59</v>
      </c>
      <c r="AR117" s="50">
        <v>59.48</v>
      </c>
      <c r="AS117" s="49">
        <v>1722.97</v>
      </c>
      <c r="AT117" s="50">
        <v>202.86</v>
      </c>
      <c r="AU117" s="101">
        <v>57588.76</v>
      </c>
      <c r="AV117" s="131">
        <v>6759.39</v>
      </c>
      <c r="AW117" s="119">
        <v>4956.66</v>
      </c>
      <c r="AX117" s="50">
        <v>533.69000000000005</v>
      </c>
      <c r="AY117" s="49">
        <v>4579.5600000000004</v>
      </c>
      <c r="AZ117" s="50">
        <v>572.22</v>
      </c>
      <c r="BA117" s="50">
        <v>516.4</v>
      </c>
      <c r="BB117" s="50">
        <v>66.989999999999995</v>
      </c>
      <c r="BC117" s="50">
        <v>86.45</v>
      </c>
      <c r="BD117" s="50">
        <v>12.13</v>
      </c>
      <c r="BE117" s="101">
        <v>10139.06</v>
      </c>
      <c r="BF117" s="131">
        <v>1185.04</v>
      </c>
      <c r="BG117" s="119">
        <v>27715.17</v>
      </c>
      <c r="BH117" s="176">
        <v>1819.39</v>
      </c>
      <c r="BI117" s="158">
        <v>131084.42000000001</v>
      </c>
      <c r="BJ117" s="192">
        <v>16133.29</v>
      </c>
    </row>
    <row r="118" spans="1:63" x14ac:dyDescent="0.25">
      <c r="A118" s="382"/>
      <c r="B118" s="385"/>
      <c r="C118" s="48">
        <v>3</v>
      </c>
      <c r="D118" s="245">
        <v>111</v>
      </c>
      <c r="E118" s="119">
        <v>9305.33</v>
      </c>
      <c r="F118" s="49">
        <v>2697</v>
      </c>
      <c r="G118" s="50">
        <v>23.73</v>
      </c>
      <c r="H118" s="50">
        <v>16.68</v>
      </c>
      <c r="I118" s="50">
        <v>0.4</v>
      </c>
      <c r="J118" s="50">
        <v>0.32</v>
      </c>
      <c r="K118" s="50">
        <v>78.849999999999994</v>
      </c>
      <c r="L118" s="50">
        <v>24.96</v>
      </c>
      <c r="M118" s="49">
        <v>6350.27</v>
      </c>
      <c r="N118" s="49">
        <v>2293.1</v>
      </c>
      <c r="O118" s="101">
        <v>15758.58</v>
      </c>
      <c r="P118" s="131">
        <v>5032.05</v>
      </c>
      <c r="Q118" s="119">
        <v>4422.8</v>
      </c>
      <c r="R118" s="50">
        <v>877.62</v>
      </c>
      <c r="S118" s="50">
        <v>32.08</v>
      </c>
      <c r="T118" s="50">
        <v>20.21</v>
      </c>
      <c r="U118" s="50">
        <v>510.3</v>
      </c>
      <c r="V118" s="50">
        <v>125.52</v>
      </c>
      <c r="W118" s="50">
        <v>0</v>
      </c>
      <c r="X118" s="50">
        <v>0</v>
      </c>
      <c r="Y118" s="101">
        <v>4965.18</v>
      </c>
      <c r="Z118" s="131">
        <v>1023.34</v>
      </c>
      <c r="AA118" s="119">
        <v>11618.63</v>
      </c>
      <c r="AB118" s="50">
        <v>508.63</v>
      </c>
      <c r="AC118" s="49">
        <v>5814.76</v>
      </c>
      <c r="AD118" s="50">
        <v>916.1</v>
      </c>
      <c r="AE118" s="49">
        <v>5147.38</v>
      </c>
      <c r="AF118" s="50">
        <v>307.31</v>
      </c>
      <c r="AG118" s="50">
        <v>404.93</v>
      </c>
      <c r="AH118" s="50">
        <v>85.65</v>
      </c>
      <c r="AI118" s="101">
        <v>22985.7</v>
      </c>
      <c r="AJ118" s="131">
        <v>1817.69</v>
      </c>
      <c r="AK118" s="119">
        <v>49910.06</v>
      </c>
      <c r="AL118" s="49">
        <v>6022.71</v>
      </c>
      <c r="AM118" s="49">
        <v>5546.1</v>
      </c>
      <c r="AN118" s="50">
        <v>420.6</v>
      </c>
      <c r="AO118" s="49">
        <v>3702.89</v>
      </c>
      <c r="AP118" s="50">
        <v>463.7</v>
      </c>
      <c r="AQ118" s="50">
        <v>109.98</v>
      </c>
      <c r="AR118" s="50">
        <v>62.49</v>
      </c>
      <c r="AS118" s="49">
        <v>1808.63</v>
      </c>
      <c r="AT118" s="50">
        <v>218.71</v>
      </c>
      <c r="AU118" s="101">
        <v>61077.66</v>
      </c>
      <c r="AV118" s="131">
        <v>7188.22</v>
      </c>
      <c r="AW118" s="119">
        <v>6300.68</v>
      </c>
      <c r="AX118" s="50">
        <v>664.79</v>
      </c>
      <c r="AY118" s="49">
        <v>5722.73</v>
      </c>
      <c r="AZ118" s="50">
        <v>710.01</v>
      </c>
      <c r="BA118" s="50">
        <v>832.37</v>
      </c>
      <c r="BB118" s="50">
        <v>103.21</v>
      </c>
      <c r="BC118" s="50">
        <v>147.16</v>
      </c>
      <c r="BD118" s="50">
        <v>32.979999999999997</v>
      </c>
      <c r="BE118" s="101">
        <v>13002.94</v>
      </c>
      <c r="BF118" s="131">
        <v>1511</v>
      </c>
      <c r="BG118" s="119">
        <v>34634.480000000003</v>
      </c>
      <c r="BH118" s="176">
        <v>1964.28</v>
      </c>
      <c r="BI118" s="158">
        <v>152424.53</v>
      </c>
      <c r="BJ118" s="192">
        <v>18536.59</v>
      </c>
    </row>
    <row r="119" spans="1:63" x14ac:dyDescent="0.25">
      <c r="A119" s="382"/>
      <c r="B119" s="385"/>
      <c r="C119" s="48">
        <v>4</v>
      </c>
      <c r="D119" s="245">
        <v>112</v>
      </c>
      <c r="E119" s="119">
        <v>8515.7000000000007</v>
      </c>
      <c r="F119" s="49">
        <v>2393.5100000000002</v>
      </c>
      <c r="G119" s="50">
        <v>29.43</v>
      </c>
      <c r="H119" s="50">
        <v>23.26</v>
      </c>
      <c r="I119" s="50">
        <v>7.0000000000000007E-2</v>
      </c>
      <c r="J119" s="50">
        <v>0.16</v>
      </c>
      <c r="K119" s="50">
        <v>76.44</v>
      </c>
      <c r="L119" s="50">
        <v>22.66</v>
      </c>
      <c r="M119" s="49">
        <v>5240.16</v>
      </c>
      <c r="N119" s="49">
        <v>1924.98</v>
      </c>
      <c r="O119" s="101">
        <v>13861.8</v>
      </c>
      <c r="P119" s="131">
        <v>4364.57</v>
      </c>
      <c r="Q119" s="119">
        <v>3979.1</v>
      </c>
      <c r="R119" s="50">
        <v>833.19</v>
      </c>
      <c r="S119" s="50">
        <v>34.770000000000003</v>
      </c>
      <c r="T119" s="50">
        <v>31.77</v>
      </c>
      <c r="U119" s="50">
        <v>591.02</v>
      </c>
      <c r="V119" s="50">
        <v>129.87</v>
      </c>
      <c r="W119" s="50">
        <v>0</v>
      </c>
      <c r="X119" s="50">
        <v>0</v>
      </c>
      <c r="Y119" s="101">
        <v>4604.8900000000003</v>
      </c>
      <c r="Z119" s="143">
        <v>994.83</v>
      </c>
      <c r="AA119" s="119">
        <v>9973.9699999999993</v>
      </c>
      <c r="AB119" s="50">
        <v>405.24</v>
      </c>
      <c r="AC119" s="49">
        <v>5267.37</v>
      </c>
      <c r="AD119" s="50">
        <v>807.37</v>
      </c>
      <c r="AE119" s="49">
        <v>3939.05</v>
      </c>
      <c r="AF119" s="50">
        <v>228.91</v>
      </c>
      <c r="AG119" s="50">
        <v>316.52999999999997</v>
      </c>
      <c r="AH119" s="50">
        <v>74.02</v>
      </c>
      <c r="AI119" s="101">
        <v>19496.919999999998</v>
      </c>
      <c r="AJ119" s="131">
        <v>1515.54</v>
      </c>
      <c r="AK119" s="119">
        <v>38932.67</v>
      </c>
      <c r="AL119" s="49">
        <v>4804.0200000000004</v>
      </c>
      <c r="AM119" s="49">
        <v>3407.38</v>
      </c>
      <c r="AN119" s="50">
        <v>255.31</v>
      </c>
      <c r="AO119" s="49">
        <v>2865.51</v>
      </c>
      <c r="AP119" s="50">
        <v>386.57</v>
      </c>
      <c r="AQ119" s="50">
        <v>51.32</v>
      </c>
      <c r="AR119" s="50">
        <v>26.22</v>
      </c>
      <c r="AS119" s="49">
        <v>1429.24</v>
      </c>
      <c r="AT119" s="50">
        <v>168.09</v>
      </c>
      <c r="AU119" s="101">
        <v>46686.11</v>
      </c>
      <c r="AV119" s="131">
        <v>5640.2</v>
      </c>
      <c r="AW119" s="119">
        <v>5041.78</v>
      </c>
      <c r="AX119" s="50">
        <v>547.02</v>
      </c>
      <c r="AY119" s="49">
        <v>4595.24</v>
      </c>
      <c r="AZ119" s="50">
        <v>609.79999999999995</v>
      </c>
      <c r="BA119" s="50">
        <v>488.87</v>
      </c>
      <c r="BB119" s="50">
        <v>57.59</v>
      </c>
      <c r="BC119" s="50">
        <v>102.36</v>
      </c>
      <c r="BD119" s="50">
        <v>21.41</v>
      </c>
      <c r="BE119" s="101">
        <v>10228.24</v>
      </c>
      <c r="BF119" s="131">
        <v>1235.83</v>
      </c>
      <c r="BG119" s="119">
        <v>27001.34</v>
      </c>
      <c r="BH119" s="176">
        <v>1547.49</v>
      </c>
      <c r="BI119" s="158">
        <v>121879.3</v>
      </c>
      <c r="BJ119" s="192">
        <v>15298.45</v>
      </c>
    </row>
    <row r="120" spans="1:63" x14ac:dyDescent="0.25">
      <c r="A120" s="382"/>
      <c r="B120" s="385"/>
      <c r="C120" s="48">
        <v>5</v>
      </c>
      <c r="D120" s="245">
        <v>113</v>
      </c>
      <c r="E120" s="119">
        <v>12372.15</v>
      </c>
      <c r="F120" s="49">
        <v>3434.91</v>
      </c>
      <c r="G120" s="50">
        <v>30.29</v>
      </c>
      <c r="H120" s="50">
        <v>23.07</v>
      </c>
      <c r="I120" s="50">
        <v>0.08</v>
      </c>
      <c r="J120" s="50">
        <v>0.16</v>
      </c>
      <c r="K120" s="50">
        <v>82.91</v>
      </c>
      <c r="L120" s="50">
        <v>19.12</v>
      </c>
      <c r="M120" s="49">
        <v>6238.67</v>
      </c>
      <c r="N120" s="49">
        <v>2317.5300000000002</v>
      </c>
      <c r="O120" s="101">
        <v>18724.099999999999</v>
      </c>
      <c r="P120" s="131">
        <v>5794.78</v>
      </c>
      <c r="Q120" s="119">
        <v>4617.74</v>
      </c>
      <c r="R120" s="50">
        <v>912.83</v>
      </c>
      <c r="S120" s="50">
        <v>41.19</v>
      </c>
      <c r="T120" s="50">
        <v>24.78</v>
      </c>
      <c r="U120" s="50">
        <v>665.75</v>
      </c>
      <c r="V120" s="50">
        <v>137.88</v>
      </c>
      <c r="W120" s="50">
        <v>0</v>
      </c>
      <c r="X120" s="50">
        <v>0</v>
      </c>
      <c r="Y120" s="101">
        <v>5324.68</v>
      </c>
      <c r="Z120" s="131">
        <v>1075.49</v>
      </c>
      <c r="AA120" s="119">
        <v>10506.26</v>
      </c>
      <c r="AB120" s="50">
        <v>461.48</v>
      </c>
      <c r="AC120" s="49">
        <v>4982.8599999999997</v>
      </c>
      <c r="AD120" s="50">
        <v>778.32</v>
      </c>
      <c r="AE120" s="49">
        <v>5417.38</v>
      </c>
      <c r="AF120" s="50">
        <v>322.19</v>
      </c>
      <c r="AG120" s="50">
        <v>307.26</v>
      </c>
      <c r="AH120" s="50">
        <v>71.650000000000006</v>
      </c>
      <c r="AI120" s="101">
        <v>21213.759999999998</v>
      </c>
      <c r="AJ120" s="131">
        <v>1633.64</v>
      </c>
      <c r="AK120" s="119">
        <v>48499.839999999997</v>
      </c>
      <c r="AL120" s="49">
        <v>6033.69</v>
      </c>
      <c r="AM120" s="49">
        <v>4727.74</v>
      </c>
      <c r="AN120" s="50">
        <v>358.86</v>
      </c>
      <c r="AO120" s="49">
        <v>4745.58</v>
      </c>
      <c r="AP120" s="50">
        <v>561.29</v>
      </c>
      <c r="AQ120" s="50">
        <v>97.56</v>
      </c>
      <c r="AR120" s="50">
        <v>40.4</v>
      </c>
      <c r="AS120" s="49">
        <v>1660.8</v>
      </c>
      <c r="AT120" s="50">
        <v>188.03</v>
      </c>
      <c r="AU120" s="101">
        <v>59731.519999999997</v>
      </c>
      <c r="AV120" s="131">
        <v>7182.26</v>
      </c>
      <c r="AW120" s="119">
        <v>5703.42</v>
      </c>
      <c r="AX120" s="50">
        <v>592.58000000000004</v>
      </c>
      <c r="AY120" s="49">
        <v>5068.67</v>
      </c>
      <c r="AZ120" s="50">
        <v>634.63</v>
      </c>
      <c r="BA120" s="50">
        <v>764.02</v>
      </c>
      <c r="BB120" s="50">
        <v>91.51</v>
      </c>
      <c r="BC120" s="50">
        <v>99.73</v>
      </c>
      <c r="BD120" s="50">
        <v>16.95</v>
      </c>
      <c r="BE120" s="101">
        <v>11635.84</v>
      </c>
      <c r="BF120" s="131">
        <v>1335.67</v>
      </c>
      <c r="BG120" s="119">
        <v>33530.25</v>
      </c>
      <c r="BH120" s="176">
        <v>1753.3</v>
      </c>
      <c r="BI120" s="158">
        <v>150160.15</v>
      </c>
      <c r="BJ120" s="192">
        <v>18775.150000000001</v>
      </c>
    </row>
    <row r="121" spans="1:63" x14ac:dyDescent="0.25">
      <c r="A121" s="382"/>
      <c r="B121" s="385"/>
      <c r="C121" s="48">
        <v>6</v>
      </c>
      <c r="D121" s="245">
        <v>114</v>
      </c>
      <c r="E121" s="119">
        <v>11923.29</v>
      </c>
      <c r="F121" s="49">
        <v>3432.3</v>
      </c>
      <c r="G121" s="50">
        <v>33.99</v>
      </c>
      <c r="H121" s="50">
        <v>24.9</v>
      </c>
      <c r="I121" s="50">
        <v>0.08</v>
      </c>
      <c r="J121" s="50">
        <v>0.16</v>
      </c>
      <c r="K121" s="50">
        <v>58.04</v>
      </c>
      <c r="L121" s="50">
        <v>23.53</v>
      </c>
      <c r="M121" s="49">
        <v>7384.06</v>
      </c>
      <c r="N121" s="49">
        <v>2762.75</v>
      </c>
      <c r="O121" s="101">
        <v>19399.45</v>
      </c>
      <c r="P121" s="131">
        <v>6243.64</v>
      </c>
      <c r="Q121" s="119">
        <v>4186.49</v>
      </c>
      <c r="R121" s="50">
        <v>905.06</v>
      </c>
      <c r="S121" s="50">
        <v>50.05</v>
      </c>
      <c r="T121" s="50">
        <v>25.08</v>
      </c>
      <c r="U121" s="50">
        <v>606.26</v>
      </c>
      <c r="V121" s="50">
        <v>130.21</v>
      </c>
      <c r="W121" s="50">
        <v>0</v>
      </c>
      <c r="X121" s="50">
        <v>0</v>
      </c>
      <c r="Y121" s="101">
        <v>4842.79</v>
      </c>
      <c r="Z121" s="131">
        <v>1060.3499999999999</v>
      </c>
      <c r="AA121" s="119">
        <v>10680.63</v>
      </c>
      <c r="AB121" s="50">
        <v>497.16</v>
      </c>
      <c r="AC121" s="49">
        <v>5024.04</v>
      </c>
      <c r="AD121" s="50">
        <v>831.17</v>
      </c>
      <c r="AE121" s="49">
        <v>3322.26</v>
      </c>
      <c r="AF121" s="50">
        <v>223.96</v>
      </c>
      <c r="AG121" s="50">
        <v>303.62</v>
      </c>
      <c r="AH121" s="50">
        <v>64.81</v>
      </c>
      <c r="AI121" s="101">
        <v>19330.55</v>
      </c>
      <c r="AJ121" s="131">
        <v>1617.1</v>
      </c>
      <c r="AK121" s="119">
        <v>45123.79</v>
      </c>
      <c r="AL121" s="49">
        <v>5871.36</v>
      </c>
      <c r="AM121" s="49">
        <v>4767.8599999999997</v>
      </c>
      <c r="AN121" s="50">
        <v>360.99</v>
      </c>
      <c r="AO121" s="49">
        <v>4537.45</v>
      </c>
      <c r="AP121" s="50">
        <v>558.92999999999995</v>
      </c>
      <c r="AQ121" s="50">
        <v>136.13999999999999</v>
      </c>
      <c r="AR121" s="50">
        <v>64.91</v>
      </c>
      <c r="AS121" s="49">
        <v>1798.55</v>
      </c>
      <c r="AT121" s="50">
        <v>212.09</v>
      </c>
      <c r="AU121" s="101">
        <v>56363.79</v>
      </c>
      <c r="AV121" s="131">
        <v>7068.3</v>
      </c>
      <c r="AW121" s="119">
        <v>5802.47</v>
      </c>
      <c r="AX121" s="50">
        <v>628.75</v>
      </c>
      <c r="AY121" s="49">
        <v>5048.25</v>
      </c>
      <c r="AZ121" s="50">
        <v>644.28</v>
      </c>
      <c r="BA121" s="50">
        <v>514.74</v>
      </c>
      <c r="BB121" s="50">
        <v>65.510000000000005</v>
      </c>
      <c r="BC121" s="50">
        <v>134.97999999999999</v>
      </c>
      <c r="BD121" s="50">
        <v>33.54</v>
      </c>
      <c r="BE121" s="101">
        <v>11500.44</v>
      </c>
      <c r="BF121" s="131">
        <v>1372.08</v>
      </c>
      <c r="BG121" s="119">
        <v>35527.730000000003</v>
      </c>
      <c r="BH121" s="176">
        <v>1939.51</v>
      </c>
      <c r="BI121" s="158">
        <v>146964.75</v>
      </c>
      <c r="BJ121" s="192">
        <v>19300.98</v>
      </c>
    </row>
    <row r="122" spans="1:63" x14ac:dyDescent="0.25">
      <c r="A122" s="382"/>
      <c r="B122" s="385"/>
      <c r="C122" s="48">
        <v>7</v>
      </c>
      <c r="D122" s="245">
        <v>115</v>
      </c>
      <c r="E122" s="119">
        <v>10409.77</v>
      </c>
      <c r="F122" s="49">
        <v>3125.93</v>
      </c>
      <c r="G122" s="50">
        <v>29.52</v>
      </c>
      <c r="H122" s="50">
        <v>22.22</v>
      </c>
      <c r="I122" s="50">
        <v>0.06</v>
      </c>
      <c r="J122" s="50">
        <v>0.13</v>
      </c>
      <c r="K122" s="50">
        <v>70.23</v>
      </c>
      <c r="L122" s="50">
        <v>27.49</v>
      </c>
      <c r="M122" s="49">
        <v>6872.17</v>
      </c>
      <c r="N122" s="49">
        <v>2573.75</v>
      </c>
      <c r="O122" s="101">
        <v>17381.73</v>
      </c>
      <c r="P122" s="131">
        <v>5749.52</v>
      </c>
      <c r="Q122" s="119">
        <v>3695.83</v>
      </c>
      <c r="R122" s="50">
        <v>803.27</v>
      </c>
      <c r="S122" s="50">
        <v>37.24</v>
      </c>
      <c r="T122" s="50">
        <v>21.75</v>
      </c>
      <c r="U122" s="50">
        <v>786.18</v>
      </c>
      <c r="V122" s="50">
        <v>163.91</v>
      </c>
      <c r="W122" s="50">
        <v>0</v>
      </c>
      <c r="X122" s="50">
        <v>0</v>
      </c>
      <c r="Y122" s="101">
        <v>4519.25</v>
      </c>
      <c r="Z122" s="143">
        <v>988.93</v>
      </c>
      <c r="AA122" s="119">
        <v>9705.83</v>
      </c>
      <c r="AB122" s="50">
        <v>454.75</v>
      </c>
      <c r="AC122" s="49">
        <v>4555.87</v>
      </c>
      <c r="AD122" s="50">
        <v>761.63</v>
      </c>
      <c r="AE122" s="49">
        <v>4244.68</v>
      </c>
      <c r="AF122" s="50">
        <v>281.47000000000003</v>
      </c>
      <c r="AG122" s="50">
        <v>294.48</v>
      </c>
      <c r="AH122" s="50">
        <v>61.45</v>
      </c>
      <c r="AI122" s="101">
        <v>18800.86</v>
      </c>
      <c r="AJ122" s="131">
        <v>1559.31</v>
      </c>
      <c r="AK122" s="119">
        <v>43837.93</v>
      </c>
      <c r="AL122" s="49">
        <v>5756.26</v>
      </c>
      <c r="AM122" s="49">
        <v>3613.18</v>
      </c>
      <c r="AN122" s="50">
        <v>282.39999999999998</v>
      </c>
      <c r="AO122" s="49">
        <v>3819.99</v>
      </c>
      <c r="AP122" s="50">
        <v>507.23</v>
      </c>
      <c r="AQ122" s="50">
        <v>199.37</v>
      </c>
      <c r="AR122" s="50">
        <v>101.07</v>
      </c>
      <c r="AS122" s="49">
        <v>1763.37</v>
      </c>
      <c r="AT122" s="50">
        <v>203.21</v>
      </c>
      <c r="AU122" s="101">
        <v>53233.84</v>
      </c>
      <c r="AV122" s="131">
        <v>6850.16</v>
      </c>
      <c r="AW122" s="119">
        <v>5550.7</v>
      </c>
      <c r="AX122" s="50">
        <v>584.89</v>
      </c>
      <c r="AY122" s="49">
        <v>5000.2700000000004</v>
      </c>
      <c r="AZ122" s="50">
        <v>631.65</v>
      </c>
      <c r="BA122" s="50">
        <v>624.49</v>
      </c>
      <c r="BB122" s="50">
        <v>89.29</v>
      </c>
      <c r="BC122" s="50">
        <v>166.18</v>
      </c>
      <c r="BD122" s="50">
        <v>55.79</v>
      </c>
      <c r="BE122" s="101">
        <v>11341.64</v>
      </c>
      <c r="BF122" s="131">
        <v>1361.62</v>
      </c>
      <c r="BG122" s="119">
        <v>32723.4</v>
      </c>
      <c r="BH122" s="176">
        <v>1837.89</v>
      </c>
      <c r="BI122" s="158">
        <v>138000.71</v>
      </c>
      <c r="BJ122" s="192">
        <v>18347.43</v>
      </c>
    </row>
    <row r="123" spans="1:63" x14ac:dyDescent="0.25">
      <c r="A123" s="382"/>
      <c r="B123" s="385"/>
      <c r="C123" s="48">
        <v>8</v>
      </c>
      <c r="D123" s="245">
        <v>116</v>
      </c>
      <c r="E123" s="119">
        <v>9255.48</v>
      </c>
      <c r="F123" s="49">
        <v>2898.32</v>
      </c>
      <c r="G123" s="50">
        <v>53.14</v>
      </c>
      <c r="H123" s="50">
        <v>42.68</v>
      </c>
      <c r="I123" s="50">
        <v>0.04</v>
      </c>
      <c r="J123" s="50">
        <v>0.13</v>
      </c>
      <c r="K123" s="50">
        <v>93.92</v>
      </c>
      <c r="L123" s="50">
        <v>26.96</v>
      </c>
      <c r="M123" s="49">
        <v>7581.73</v>
      </c>
      <c r="N123" s="49">
        <v>2848.86</v>
      </c>
      <c r="O123" s="101">
        <v>16984.32</v>
      </c>
      <c r="P123" s="131">
        <v>5816.95</v>
      </c>
      <c r="Q123" s="119">
        <v>3097.43</v>
      </c>
      <c r="R123" s="50">
        <v>669.76</v>
      </c>
      <c r="S123" s="50">
        <v>54.65</v>
      </c>
      <c r="T123" s="50">
        <v>15.97</v>
      </c>
      <c r="U123" s="50">
        <v>718.84</v>
      </c>
      <c r="V123" s="50">
        <v>160.12</v>
      </c>
      <c r="W123" s="50">
        <v>0.08</v>
      </c>
      <c r="X123" s="50">
        <v>0.08</v>
      </c>
      <c r="Y123" s="101">
        <v>3870.99</v>
      </c>
      <c r="Z123" s="143">
        <v>845.93</v>
      </c>
      <c r="AA123" s="119">
        <v>7943.55</v>
      </c>
      <c r="AB123" s="50">
        <v>388.13</v>
      </c>
      <c r="AC123" s="49">
        <v>5132.91</v>
      </c>
      <c r="AD123" s="50">
        <v>846.73</v>
      </c>
      <c r="AE123" s="49">
        <v>5006.2</v>
      </c>
      <c r="AF123" s="50">
        <v>324.54000000000002</v>
      </c>
      <c r="AG123" s="50">
        <v>297.24</v>
      </c>
      <c r="AH123" s="50">
        <v>66.53</v>
      </c>
      <c r="AI123" s="101">
        <v>18379.900000000001</v>
      </c>
      <c r="AJ123" s="131">
        <v>1625.93</v>
      </c>
      <c r="AK123" s="119">
        <v>43614.85</v>
      </c>
      <c r="AL123" s="49">
        <v>5725.94</v>
      </c>
      <c r="AM123" s="49">
        <v>3746.95</v>
      </c>
      <c r="AN123" s="50">
        <v>283.23</v>
      </c>
      <c r="AO123" s="49">
        <v>3912.5</v>
      </c>
      <c r="AP123" s="50">
        <v>512.94000000000005</v>
      </c>
      <c r="AQ123" s="50">
        <v>182.96</v>
      </c>
      <c r="AR123" s="50">
        <v>90.07</v>
      </c>
      <c r="AS123" s="49">
        <v>1765.84</v>
      </c>
      <c r="AT123" s="50">
        <v>213.78</v>
      </c>
      <c r="AU123" s="101">
        <v>53223.1</v>
      </c>
      <c r="AV123" s="131">
        <v>6825.96</v>
      </c>
      <c r="AW123" s="119">
        <v>6102.59</v>
      </c>
      <c r="AX123" s="50">
        <v>660.65</v>
      </c>
      <c r="AY123" s="49">
        <v>4880.8599999999997</v>
      </c>
      <c r="AZ123" s="50">
        <v>619.57000000000005</v>
      </c>
      <c r="BA123" s="50">
        <v>415.43</v>
      </c>
      <c r="BB123" s="50">
        <v>65.97</v>
      </c>
      <c r="BC123" s="50">
        <v>163.44</v>
      </c>
      <c r="BD123" s="50">
        <v>39.979999999999997</v>
      </c>
      <c r="BE123" s="101">
        <v>11562.32</v>
      </c>
      <c r="BF123" s="131">
        <v>1386.16</v>
      </c>
      <c r="BG123" s="119">
        <v>28786.77</v>
      </c>
      <c r="BH123" s="176">
        <v>1725</v>
      </c>
      <c r="BI123" s="158">
        <v>132807.4</v>
      </c>
      <c r="BJ123" s="192">
        <v>18225.93</v>
      </c>
    </row>
    <row r="124" spans="1:63" x14ac:dyDescent="0.25">
      <c r="A124" s="382"/>
      <c r="B124" s="385"/>
      <c r="C124" s="48">
        <v>9</v>
      </c>
      <c r="D124" s="245">
        <v>117</v>
      </c>
      <c r="E124" s="119">
        <v>11340.75</v>
      </c>
      <c r="F124" s="49">
        <v>3567.34</v>
      </c>
      <c r="G124" s="50">
        <v>32.58</v>
      </c>
      <c r="H124" s="50">
        <v>25.41</v>
      </c>
      <c r="I124" s="50">
        <v>0</v>
      </c>
      <c r="J124" s="50">
        <v>0</v>
      </c>
      <c r="K124" s="50">
        <v>70.17</v>
      </c>
      <c r="L124" s="50">
        <v>21.28</v>
      </c>
      <c r="M124" s="49">
        <v>9296.33</v>
      </c>
      <c r="N124" s="49">
        <v>3584.93</v>
      </c>
      <c r="O124" s="101">
        <v>20739.82</v>
      </c>
      <c r="P124" s="131">
        <v>7198.96</v>
      </c>
      <c r="Q124" s="119">
        <v>3833.04</v>
      </c>
      <c r="R124" s="50">
        <v>870.96</v>
      </c>
      <c r="S124" s="50">
        <v>23.17</v>
      </c>
      <c r="T124" s="50">
        <v>20.94</v>
      </c>
      <c r="U124" s="50">
        <v>647.63</v>
      </c>
      <c r="V124" s="50">
        <v>157.53</v>
      </c>
      <c r="W124" s="50">
        <v>0</v>
      </c>
      <c r="X124" s="50">
        <v>0</v>
      </c>
      <c r="Y124" s="101">
        <v>4503.84</v>
      </c>
      <c r="Z124" s="131">
        <v>1049.43</v>
      </c>
      <c r="AA124" s="119">
        <v>10029.34</v>
      </c>
      <c r="AB124" s="50">
        <v>512.35</v>
      </c>
      <c r="AC124" s="49">
        <v>5352.46</v>
      </c>
      <c r="AD124" s="50">
        <v>875.63</v>
      </c>
      <c r="AE124" s="49">
        <v>6103.51</v>
      </c>
      <c r="AF124" s="50">
        <v>404.4</v>
      </c>
      <c r="AG124" s="50">
        <v>310.48</v>
      </c>
      <c r="AH124" s="50">
        <v>66.75</v>
      </c>
      <c r="AI124" s="101">
        <v>21795.79</v>
      </c>
      <c r="AJ124" s="131">
        <v>1859.13</v>
      </c>
      <c r="AK124" s="119">
        <v>47716.21</v>
      </c>
      <c r="AL124" s="49">
        <v>6093.3</v>
      </c>
      <c r="AM124" s="49">
        <v>3291.08</v>
      </c>
      <c r="AN124" s="50">
        <v>266.33</v>
      </c>
      <c r="AO124" s="49">
        <v>3461.93</v>
      </c>
      <c r="AP124" s="50">
        <v>463.03</v>
      </c>
      <c r="AQ124" s="50">
        <v>137.07</v>
      </c>
      <c r="AR124" s="50">
        <v>65.19</v>
      </c>
      <c r="AS124" s="49">
        <v>2057.29</v>
      </c>
      <c r="AT124" s="50">
        <v>226</v>
      </c>
      <c r="AU124" s="101">
        <v>56663.59</v>
      </c>
      <c r="AV124" s="131">
        <v>7113.85</v>
      </c>
      <c r="AW124" s="119">
        <v>6764.6</v>
      </c>
      <c r="AX124" s="50">
        <v>719.95</v>
      </c>
      <c r="AY124" s="49">
        <v>5571.4</v>
      </c>
      <c r="AZ124" s="50">
        <v>731.99</v>
      </c>
      <c r="BA124" s="50">
        <v>831.12</v>
      </c>
      <c r="BB124" s="50">
        <v>117.36</v>
      </c>
      <c r="BC124" s="50">
        <v>168.25</v>
      </c>
      <c r="BD124" s="50">
        <v>39.78</v>
      </c>
      <c r="BE124" s="101">
        <v>13335.37</v>
      </c>
      <c r="BF124" s="131">
        <v>1609.08</v>
      </c>
      <c r="BG124" s="119">
        <v>24096.47</v>
      </c>
      <c r="BH124" s="176">
        <v>1543.88</v>
      </c>
      <c r="BI124" s="158">
        <v>141134.88</v>
      </c>
      <c r="BJ124" s="192">
        <v>20374.34</v>
      </c>
    </row>
    <row r="125" spans="1:63" x14ac:dyDescent="0.25">
      <c r="A125" s="382"/>
      <c r="B125" s="385"/>
      <c r="C125" s="48">
        <v>10</v>
      </c>
      <c r="D125" s="245">
        <v>118</v>
      </c>
      <c r="E125" s="119">
        <v>11225.76</v>
      </c>
      <c r="F125" s="49">
        <v>3493.42</v>
      </c>
      <c r="G125" s="50">
        <v>32.71</v>
      </c>
      <c r="H125" s="50">
        <v>23.94</v>
      </c>
      <c r="I125" s="50">
        <v>0</v>
      </c>
      <c r="J125" s="50">
        <v>0</v>
      </c>
      <c r="K125" s="50">
        <v>67.97</v>
      </c>
      <c r="L125" s="50">
        <v>23.74</v>
      </c>
      <c r="M125" s="49">
        <v>9057.08</v>
      </c>
      <c r="N125" s="49">
        <v>3446.52</v>
      </c>
      <c r="O125" s="101">
        <v>20383.509999999998</v>
      </c>
      <c r="P125" s="131">
        <v>6987.62</v>
      </c>
      <c r="Q125" s="119">
        <v>4182.6499999999996</v>
      </c>
      <c r="R125" s="50">
        <v>918.39</v>
      </c>
      <c r="S125" s="50">
        <v>33.25</v>
      </c>
      <c r="T125" s="50">
        <v>26.48</v>
      </c>
      <c r="U125" s="50">
        <v>714.02</v>
      </c>
      <c r="V125" s="50">
        <v>166.7</v>
      </c>
      <c r="W125" s="50">
        <v>0</v>
      </c>
      <c r="X125" s="50">
        <v>0</v>
      </c>
      <c r="Y125" s="101">
        <v>4929.91</v>
      </c>
      <c r="Z125" s="131">
        <v>1111.57</v>
      </c>
      <c r="AA125" s="119">
        <v>11066.55</v>
      </c>
      <c r="AB125" s="50">
        <v>549.41999999999996</v>
      </c>
      <c r="AC125" s="49">
        <v>5185.8100000000004</v>
      </c>
      <c r="AD125" s="50">
        <v>797.78</v>
      </c>
      <c r="AE125" s="49">
        <v>5845.3</v>
      </c>
      <c r="AF125" s="50">
        <v>328.22</v>
      </c>
      <c r="AG125" s="50">
        <v>314.23</v>
      </c>
      <c r="AH125" s="50">
        <v>70.86</v>
      </c>
      <c r="AI125" s="101">
        <v>22411.9</v>
      </c>
      <c r="AJ125" s="131">
        <v>1746.28</v>
      </c>
      <c r="AK125" s="119">
        <v>47470.48</v>
      </c>
      <c r="AL125" s="49">
        <v>6349.42</v>
      </c>
      <c r="AM125" s="49">
        <v>5444.77</v>
      </c>
      <c r="AN125" s="50">
        <v>393.36</v>
      </c>
      <c r="AO125" s="49">
        <v>3806.6</v>
      </c>
      <c r="AP125" s="50">
        <v>521.27</v>
      </c>
      <c r="AQ125" s="50">
        <v>154.65</v>
      </c>
      <c r="AR125" s="50">
        <v>79.47</v>
      </c>
      <c r="AS125" s="49">
        <v>2205.59</v>
      </c>
      <c r="AT125" s="50">
        <v>250.33</v>
      </c>
      <c r="AU125" s="101">
        <v>59082.1</v>
      </c>
      <c r="AV125" s="131">
        <v>7593.86</v>
      </c>
      <c r="AW125" s="119">
        <v>6515.57</v>
      </c>
      <c r="AX125" s="50">
        <v>685.99</v>
      </c>
      <c r="AY125" s="49">
        <v>5476.1</v>
      </c>
      <c r="AZ125" s="50">
        <v>712.35</v>
      </c>
      <c r="BA125" s="50">
        <v>859.22</v>
      </c>
      <c r="BB125" s="50">
        <v>115.88</v>
      </c>
      <c r="BC125" s="50">
        <v>198.83</v>
      </c>
      <c r="BD125" s="50">
        <v>53.19</v>
      </c>
      <c r="BE125" s="101">
        <v>13049.72</v>
      </c>
      <c r="BF125" s="131">
        <v>1567.41</v>
      </c>
      <c r="BG125" s="119">
        <v>24494.74</v>
      </c>
      <c r="BH125" s="176">
        <v>1503.47</v>
      </c>
      <c r="BI125" s="158">
        <v>144351.88</v>
      </c>
      <c r="BJ125" s="192">
        <v>20510.2</v>
      </c>
    </row>
    <row r="126" spans="1:63" x14ac:dyDescent="0.25">
      <c r="A126" s="382"/>
      <c r="B126" s="385"/>
      <c r="C126" s="48">
        <v>11</v>
      </c>
      <c r="D126" s="245">
        <v>119</v>
      </c>
      <c r="E126" s="119">
        <v>12887.81</v>
      </c>
      <c r="F126" s="49">
        <v>3809.52</v>
      </c>
      <c r="G126" s="50">
        <v>42.75</v>
      </c>
      <c r="H126" s="50">
        <v>33.19</v>
      </c>
      <c r="I126" s="50">
        <v>0</v>
      </c>
      <c r="J126" s="50">
        <v>0</v>
      </c>
      <c r="K126" s="50">
        <v>77.489999999999995</v>
      </c>
      <c r="L126" s="50">
        <v>29.85</v>
      </c>
      <c r="M126" s="49">
        <v>9012.1200000000008</v>
      </c>
      <c r="N126" s="49">
        <v>3489.43</v>
      </c>
      <c r="O126" s="101">
        <v>22020.17</v>
      </c>
      <c r="P126" s="131">
        <v>7361.99</v>
      </c>
      <c r="Q126" s="119">
        <v>4246.46</v>
      </c>
      <c r="R126" s="50">
        <v>995.07</v>
      </c>
      <c r="S126" s="50">
        <v>44.71</v>
      </c>
      <c r="T126" s="50">
        <v>32.21</v>
      </c>
      <c r="U126" s="50">
        <v>679.66</v>
      </c>
      <c r="V126" s="50">
        <v>165.01</v>
      </c>
      <c r="W126" s="50">
        <v>0</v>
      </c>
      <c r="X126" s="50">
        <v>0</v>
      </c>
      <c r="Y126" s="101">
        <v>4970.82</v>
      </c>
      <c r="Z126" s="131">
        <v>1192.29</v>
      </c>
      <c r="AA126" s="119">
        <v>9601.8700000000008</v>
      </c>
      <c r="AB126" s="50">
        <v>478.41</v>
      </c>
      <c r="AC126" s="49">
        <v>5279.41</v>
      </c>
      <c r="AD126" s="50">
        <v>830.57</v>
      </c>
      <c r="AE126" s="49">
        <v>5105.84</v>
      </c>
      <c r="AF126" s="50">
        <v>343.52</v>
      </c>
      <c r="AG126" s="50">
        <v>329.9</v>
      </c>
      <c r="AH126" s="50">
        <v>69.41</v>
      </c>
      <c r="AI126" s="101">
        <v>20317.03</v>
      </c>
      <c r="AJ126" s="131">
        <v>1721.91</v>
      </c>
      <c r="AK126" s="119">
        <v>58419.09</v>
      </c>
      <c r="AL126" s="49">
        <v>5772.32</v>
      </c>
      <c r="AM126" s="49">
        <v>4513.66</v>
      </c>
      <c r="AN126" s="50">
        <v>351.24</v>
      </c>
      <c r="AO126" s="49">
        <v>3501.97</v>
      </c>
      <c r="AP126" s="50">
        <v>456.49</v>
      </c>
      <c r="AQ126" s="50">
        <v>148.66999999999999</v>
      </c>
      <c r="AR126" s="50">
        <v>83.66</v>
      </c>
      <c r="AS126" s="50">
        <v>701.31</v>
      </c>
      <c r="AT126" s="50">
        <v>83.18</v>
      </c>
      <c r="AU126" s="101">
        <v>67284.7</v>
      </c>
      <c r="AV126" s="131">
        <v>6746.88</v>
      </c>
      <c r="AW126" s="119">
        <v>6851.78</v>
      </c>
      <c r="AX126" s="50">
        <v>699.54</v>
      </c>
      <c r="AY126" s="49">
        <v>7342.71</v>
      </c>
      <c r="AZ126" s="50">
        <v>964.6</v>
      </c>
      <c r="BA126" s="49">
        <v>1385.42</v>
      </c>
      <c r="BB126" s="50">
        <v>209.19</v>
      </c>
      <c r="BC126" s="50">
        <v>209.14</v>
      </c>
      <c r="BD126" s="50">
        <v>63.01</v>
      </c>
      <c r="BE126" s="101">
        <v>15789.06</v>
      </c>
      <c r="BF126" s="131">
        <v>1936.34</v>
      </c>
      <c r="BG126" s="119">
        <v>27001.8</v>
      </c>
      <c r="BH126" s="176">
        <v>1753.3</v>
      </c>
      <c r="BI126" s="158">
        <v>157383.57999999999</v>
      </c>
      <c r="BJ126" s="192">
        <v>20712.71</v>
      </c>
    </row>
    <row r="127" spans="1:63" x14ac:dyDescent="0.25">
      <c r="A127" s="383"/>
      <c r="B127" s="386"/>
      <c r="C127" s="48">
        <v>12</v>
      </c>
      <c r="D127" s="245">
        <v>120</v>
      </c>
      <c r="E127" s="119">
        <v>10756.88</v>
      </c>
      <c r="F127" s="49">
        <v>3193.55</v>
      </c>
      <c r="G127" s="51">
        <v>90</v>
      </c>
      <c r="H127" s="51">
        <v>69.239999999999995</v>
      </c>
      <c r="I127" s="51">
        <v>0</v>
      </c>
      <c r="J127" s="51">
        <v>0</v>
      </c>
      <c r="K127" s="50">
        <v>107.33</v>
      </c>
      <c r="L127" s="50">
        <v>24.02</v>
      </c>
      <c r="M127" s="49">
        <v>7145.57</v>
      </c>
      <c r="N127" s="49">
        <v>2669.84</v>
      </c>
      <c r="O127" s="101">
        <v>18099.78</v>
      </c>
      <c r="P127" s="131">
        <v>5956.65</v>
      </c>
      <c r="Q127" s="119">
        <v>4144.9399999999996</v>
      </c>
      <c r="R127" s="49">
        <v>1028.0899999999999</v>
      </c>
      <c r="S127" s="50">
        <v>24.82</v>
      </c>
      <c r="T127" s="50">
        <v>22.85</v>
      </c>
      <c r="U127" s="50">
        <v>620.01</v>
      </c>
      <c r="V127" s="50">
        <v>146.85</v>
      </c>
      <c r="W127" s="51">
        <v>0</v>
      </c>
      <c r="X127" s="51">
        <v>0</v>
      </c>
      <c r="Y127" s="101">
        <v>4789.76</v>
      </c>
      <c r="Z127" s="131">
        <v>1197.79</v>
      </c>
      <c r="AA127" s="119">
        <v>10917.11</v>
      </c>
      <c r="AB127" s="50">
        <v>612.02</v>
      </c>
      <c r="AC127" s="49">
        <v>4480.8500000000004</v>
      </c>
      <c r="AD127" s="50">
        <v>779.23</v>
      </c>
      <c r="AE127" s="49">
        <v>5262.03</v>
      </c>
      <c r="AF127" s="50">
        <v>343.14</v>
      </c>
      <c r="AG127" s="50">
        <v>323.17</v>
      </c>
      <c r="AH127" s="50">
        <v>71.73</v>
      </c>
      <c r="AI127" s="101">
        <v>20983.16</v>
      </c>
      <c r="AJ127" s="131">
        <v>1806.12</v>
      </c>
      <c r="AK127" s="119">
        <v>42681.96</v>
      </c>
      <c r="AL127" s="49">
        <v>5900.35</v>
      </c>
      <c r="AM127" s="49">
        <v>5468.59</v>
      </c>
      <c r="AN127" s="50">
        <v>410.22</v>
      </c>
      <c r="AO127" s="49">
        <v>3678.76</v>
      </c>
      <c r="AP127" s="50">
        <v>462</v>
      </c>
      <c r="AQ127" s="50">
        <v>116.66</v>
      </c>
      <c r="AR127" s="50">
        <v>45.08</v>
      </c>
      <c r="AS127" s="50">
        <v>337.34</v>
      </c>
      <c r="AT127" s="50">
        <v>52.24</v>
      </c>
      <c r="AU127" s="101">
        <v>52283.31</v>
      </c>
      <c r="AV127" s="131">
        <v>6869.89</v>
      </c>
      <c r="AW127" s="119">
        <v>5903.37</v>
      </c>
      <c r="AX127" s="50">
        <v>646.85</v>
      </c>
      <c r="AY127" s="49">
        <v>7303.93</v>
      </c>
      <c r="AZ127" s="50">
        <v>969.78</v>
      </c>
      <c r="BA127" s="49">
        <v>1171.49</v>
      </c>
      <c r="BB127" s="50">
        <v>181.4</v>
      </c>
      <c r="BC127" s="50">
        <v>151.80000000000001</v>
      </c>
      <c r="BD127" s="50">
        <v>52.29</v>
      </c>
      <c r="BE127" s="101">
        <v>14530.59</v>
      </c>
      <c r="BF127" s="131">
        <v>1850.32</v>
      </c>
      <c r="BG127" s="119">
        <v>21908.98</v>
      </c>
      <c r="BH127" s="176">
        <v>1445.01</v>
      </c>
      <c r="BI127" s="158">
        <v>132595.57999999999</v>
      </c>
      <c r="BJ127" s="192">
        <v>19125.77</v>
      </c>
    </row>
    <row r="128" spans="1:63" x14ac:dyDescent="0.25">
      <c r="A128" s="281">
        <v>2560</v>
      </c>
      <c r="B128" s="284">
        <v>2017</v>
      </c>
      <c r="C128" s="9">
        <v>1</v>
      </c>
      <c r="D128" s="237">
        <v>121</v>
      </c>
      <c r="E128" s="56">
        <v>7055.48</v>
      </c>
      <c r="F128" s="52">
        <v>2069.69</v>
      </c>
      <c r="G128" s="53"/>
      <c r="H128" s="53"/>
      <c r="I128" s="53"/>
      <c r="J128" s="53"/>
      <c r="K128" s="54">
        <v>137.5</v>
      </c>
      <c r="L128" s="11">
        <v>55.51</v>
      </c>
      <c r="M128" s="10">
        <v>5281.08</v>
      </c>
      <c r="N128" s="10">
        <v>1973.13</v>
      </c>
      <c r="O128" s="91">
        <v>12474.06</v>
      </c>
      <c r="P128" s="121">
        <v>4098.33</v>
      </c>
      <c r="Q128" s="56">
        <v>3257.45</v>
      </c>
      <c r="R128" s="11">
        <v>849.96</v>
      </c>
      <c r="S128" s="11">
        <v>76.55</v>
      </c>
      <c r="T128" s="11">
        <v>45.05</v>
      </c>
      <c r="U128" s="11">
        <v>457.04</v>
      </c>
      <c r="V128" s="55">
        <v>108.92</v>
      </c>
      <c r="W128" s="53"/>
      <c r="X128" s="53"/>
      <c r="Y128" s="106">
        <v>3791.04</v>
      </c>
      <c r="Z128" s="121">
        <v>1003.93</v>
      </c>
      <c r="AA128" s="56">
        <v>8607</v>
      </c>
      <c r="AB128" s="11">
        <v>447.08</v>
      </c>
      <c r="AC128" s="10">
        <v>3414.64</v>
      </c>
      <c r="AD128" s="11">
        <v>634.89</v>
      </c>
      <c r="AE128" s="10">
        <v>3156.73</v>
      </c>
      <c r="AF128" s="11">
        <v>214.75</v>
      </c>
      <c r="AG128" s="11">
        <v>323.20999999999998</v>
      </c>
      <c r="AH128" s="11">
        <v>72.8</v>
      </c>
      <c r="AI128" s="91">
        <v>15501.57</v>
      </c>
      <c r="AJ128" s="121">
        <v>1369.52</v>
      </c>
      <c r="AK128" s="56">
        <v>37631.5</v>
      </c>
      <c r="AL128" s="10">
        <v>5278.59</v>
      </c>
      <c r="AM128" s="10">
        <v>2885.54</v>
      </c>
      <c r="AN128" s="11">
        <v>228.75</v>
      </c>
      <c r="AO128" s="10">
        <v>3026.52</v>
      </c>
      <c r="AP128" s="11">
        <v>397.98</v>
      </c>
      <c r="AQ128" s="11">
        <v>122.61</v>
      </c>
      <c r="AR128" s="11">
        <v>62.27</v>
      </c>
      <c r="AS128" s="11">
        <v>620.08000000000004</v>
      </c>
      <c r="AT128" s="11">
        <v>73.42</v>
      </c>
      <c r="AU128" s="91">
        <v>44286.25</v>
      </c>
      <c r="AV128" s="121">
        <v>6041.01</v>
      </c>
      <c r="AW128" s="56">
        <v>5646.69</v>
      </c>
      <c r="AX128" s="11">
        <v>608.51</v>
      </c>
      <c r="AY128" s="10">
        <v>5837.19</v>
      </c>
      <c r="AZ128" s="11">
        <v>730.49</v>
      </c>
      <c r="BA128" s="11">
        <v>483.83</v>
      </c>
      <c r="BB128" s="11">
        <v>74.400000000000006</v>
      </c>
      <c r="BC128" s="11">
        <v>108.53</v>
      </c>
      <c r="BD128" s="11">
        <v>37.119999999999997</v>
      </c>
      <c r="BE128" s="91">
        <v>12076.23</v>
      </c>
      <c r="BF128" s="121">
        <v>1450.52</v>
      </c>
      <c r="BG128" s="56">
        <v>21430.240000000002</v>
      </c>
      <c r="BH128" s="177">
        <v>1265.4000000000001</v>
      </c>
      <c r="BI128" s="148">
        <v>109559.39</v>
      </c>
      <c r="BJ128" s="182">
        <v>15228.71</v>
      </c>
    </row>
    <row r="129" spans="1:62" x14ac:dyDescent="0.25">
      <c r="A129" s="282"/>
      <c r="B129" s="285"/>
      <c r="C129" s="9">
        <v>2</v>
      </c>
      <c r="D129" s="237">
        <v>122</v>
      </c>
      <c r="E129" s="56">
        <v>6866.92</v>
      </c>
      <c r="F129" s="52">
        <v>2044.81</v>
      </c>
      <c r="G129" s="57"/>
      <c r="H129" s="57"/>
      <c r="I129" s="57"/>
      <c r="J129" s="58"/>
      <c r="K129" s="54">
        <v>116.4</v>
      </c>
      <c r="L129" s="11">
        <v>46.58</v>
      </c>
      <c r="M129" s="10">
        <v>5133.53</v>
      </c>
      <c r="N129" s="10">
        <v>1939.16</v>
      </c>
      <c r="O129" s="91">
        <v>12116.85</v>
      </c>
      <c r="P129" s="121">
        <v>4030.54</v>
      </c>
      <c r="Q129" s="56">
        <v>3310.77</v>
      </c>
      <c r="R129" s="11">
        <v>868.73</v>
      </c>
      <c r="S129" s="11">
        <v>5.55</v>
      </c>
      <c r="T129" s="11">
        <v>5.77</v>
      </c>
      <c r="U129" s="11">
        <v>545.44000000000005</v>
      </c>
      <c r="V129" s="55">
        <v>140.19</v>
      </c>
      <c r="W129" s="58"/>
      <c r="X129" s="58"/>
      <c r="Y129" s="106">
        <v>3861.76</v>
      </c>
      <c r="Z129" s="121">
        <v>1014.69</v>
      </c>
      <c r="AA129" s="56">
        <v>10021.780000000001</v>
      </c>
      <c r="AB129" s="11">
        <v>478.07</v>
      </c>
      <c r="AC129" s="10">
        <v>3652.27</v>
      </c>
      <c r="AD129" s="11">
        <v>604.35</v>
      </c>
      <c r="AE129" s="10">
        <v>5140.63</v>
      </c>
      <c r="AF129" s="11">
        <v>325.79000000000002</v>
      </c>
      <c r="AG129" s="11">
        <v>282.08</v>
      </c>
      <c r="AH129" s="11">
        <v>64.67</v>
      </c>
      <c r="AI129" s="91">
        <v>19096.759999999998</v>
      </c>
      <c r="AJ129" s="121">
        <v>1472.89</v>
      </c>
      <c r="AK129" s="56">
        <v>41972.95</v>
      </c>
      <c r="AL129" s="10">
        <v>5796.22</v>
      </c>
      <c r="AM129" s="10">
        <v>3000.4</v>
      </c>
      <c r="AN129" s="11">
        <v>231.96</v>
      </c>
      <c r="AO129" s="10">
        <v>3181.7</v>
      </c>
      <c r="AP129" s="11">
        <v>418.46</v>
      </c>
      <c r="AQ129" s="11">
        <v>79.349999999999994</v>
      </c>
      <c r="AR129" s="11">
        <v>43.01</v>
      </c>
      <c r="AS129" s="11">
        <v>995.8</v>
      </c>
      <c r="AT129" s="11">
        <v>110.99</v>
      </c>
      <c r="AU129" s="91">
        <v>49230.2</v>
      </c>
      <c r="AV129" s="121">
        <v>6600.63</v>
      </c>
      <c r="AW129" s="56">
        <v>5713.79</v>
      </c>
      <c r="AX129" s="11">
        <v>621.54</v>
      </c>
      <c r="AY129" s="10">
        <v>5733.3</v>
      </c>
      <c r="AZ129" s="11">
        <v>737.65</v>
      </c>
      <c r="BA129" s="11">
        <v>791.25</v>
      </c>
      <c r="BB129" s="11">
        <v>111.14</v>
      </c>
      <c r="BC129" s="11">
        <v>91.33</v>
      </c>
      <c r="BD129" s="11">
        <v>18.07</v>
      </c>
      <c r="BE129" s="91">
        <v>12329.67</v>
      </c>
      <c r="BF129" s="121">
        <v>1488.41</v>
      </c>
      <c r="BG129" s="56">
        <v>23025.119999999999</v>
      </c>
      <c r="BH129" s="177">
        <v>1413.36</v>
      </c>
      <c r="BI129" s="148">
        <v>119660.36</v>
      </c>
      <c r="BJ129" s="182">
        <v>16020.52</v>
      </c>
    </row>
    <row r="130" spans="1:62" x14ac:dyDescent="0.25">
      <c r="A130" s="282"/>
      <c r="B130" s="285"/>
      <c r="C130" s="9">
        <v>3</v>
      </c>
      <c r="D130" s="237">
        <v>123</v>
      </c>
      <c r="E130" s="56">
        <v>8690.7900000000009</v>
      </c>
      <c r="F130" s="52">
        <v>2579.89</v>
      </c>
      <c r="G130" s="57"/>
      <c r="H130" s="57"/>
      <c r="I130" s="57"/>
      <c r="J130" s="57"/>
      <c r="K130" s="54">
        <v>146.26</v>
      </c>
      <c r="L130" s="11">
        <v>76.64</v>
      </c>
      <c r="M130" s="10">
        <v>7072.26</v>
      </c>
      <c r="N130" s="10">
        <v>2694.11</v>
      </c>
      <c r="O130" s="91">
        <v>15909.32</v>
      </c>
      <c r="P130" s="121">
        <v>5350.63</v>
      </c>
      <c r="Q130" s="56">
        <v>5003.95</v>
      </c>
      <c r="R130" s="10">
        <v>1300.1500000000001</v>
      </c>
      <c r="S130" s="11">
        <v>46.24</v>
      </c>
      <c r="T130" s="11">
        <v>19</v>
      </c>
      <c r="U130" s="11">
        <v>612.65</v>
      </c>
      <c r="V130" s="55">
        <v>165.24</v>
      </c>
      <c r="W130" s="58"/>
      <c r="X130" s="58"/>
      <c r="Y130" s="106">
        <v>5662.84</v>
      </c>
      <c r="Z130" s="121">
        <v>1484.39</v>
      </c>
      <c r="AA130" s="56">
        <v>12603.68</v>
      </c>
      <c r="AB130" s="11">
        <v>664</v>
      </c>
      <c r="AC130" s="10">
        <v>5276.9</v>
      </c>
      <c r="AD130" s="11">
        <v>859.91</v>
      </c>
      <c r="AE130" s="10">
        <v>3637.78</v>
      </c>
      <c r="AF130" s="11">
        <v>266.97000000000003</v>
      </c>
      <c r="AG130" s="11">
        <v>295.62</v>
      </c>
      <c r="AH130" s="11">
        <v>77.72</v>
      </c>
      <c r="AI130" s="91">
        <v>21813.99</v>
      </c>
      <c r="AJ130" s="121">
        <v>1868.6</v>
      </c>
      <c r="AK130" s="56">
        <v>43498.47</v>
      </c>
      <c r="AL130" s="10">
        <v>6106.19</v>
      </c>
      <c r="AM130" s="10">
        <v>4132.09</v>
      </c>
      <c r="AN130" s="11">
        <v>316.38</v>
      </c>
      <c r="AO130" s="10">
        <v>3693.08</v>
      </c>
      <c r="AP130" s="11">
        <v>505.79</v>
      </c>
      <c r="AQ130" s="11">
        <v>94.86</v>
      </c>
      <c r="AR130" s="11">
        <v>42.84</v>
      </c>
      <c r="AS130" s="11">
        <v>644.63</v>
      </c>
      <c r="AT130" s="11">
        <v>90.66</v>
      </c>
      <c r="AU130" s="91">
        <v>52063.12</v>
      </c>
      <c r="AV130" s="121">
        <v>7061.86</v>
      </c>
      <c r="AW130" s="56">
        <v>6051.01</v>
      </c>
      <c r="AX130" s="11">
        <v>668.89</v>
      </c>
      <c r="AY130" s="10">
        <v>6555.52</v>
      </c>
      <c r="AZ130" s="11">
        <v>825.04</v>
      </c>
      <c r="BA130" s="11">
        <v>138.25</v>
      </c>
      <c r="BB130" s="11">
        <v>20.65</v>
      </c>
      <c r="BC130" s="11">
        <v>211.49</v>
      </c>
      <c r="BD130" s="11">
        <v>64.36</v>
      </c>
      <c r="BE130" s="91">
        <v>12956.27</v>
      </c>
      <c r="BF130" s="121">
        <v>1578.94</v>
      </c>
      <c r="BG130" s="56">
        <v>28273.79</v>
      </c>
      <c r="BH130" s="177">
        <v>1673.5</v>
      </c>
      <c r="BI130" s="148">
        <v>136679.32999999999</v>
      </c>
      <c r="BJ130" s="182">
        <v>19017.93</v>
      </c>
    </row>
    <row r="131" spans="1:62" x14ac:dyDescent="0.25">
      <c r="A131" s="282"/>
      <c r="B131" s="285"/>
      <c r="C131" s="9">
        <v>4</v>
      </c>
      <c r="D131" s="237">
        <v>124</v>
      </c>
      <c r="E131" s="56">
        <v>6603.13</v>
      </c>
      <c r="F131" s="52">
        <v>1994.22</v>
      </c>
      <c r="G131" s="57"/>
      <c r="H131" s="57"/>
      <c r="I131" s="57"/>
      <c r="J131" s="57"/>
      <c r="K131" s="54">
        <v>89.57</v>
      </c>
      <c r="L131" s="11">
        <v>42.9</v>
      </c>
      <c r="M131" s="10">
        <v>4640.87</v>
      </c>
      <c r="N131" s="10">
        <v>1762.4</v>
      </c>
      <c r="O131" s="91">
        <v>11333.58</v>
      </c>
      <c r="P131" s="121">
        <v>3799.52</v>
      </c>
      <c r="Q131" s="56">
        <v>3616.98</v>
      </c>
      <c r="R131" s="11">
        <v>939.59</v>
      </c>
      <c r="S131" s="11">
        <v>13.1</v>
      </c>
      <c r="T131" s="11">
        <v>12.85</v>
      </c>
      <c r="U131" s="11">
        <v>450.62</v>
      </c>
      <c r="V131" s="55">
        <v>117.84</v>
      </c>
      <c r="W131" s="58"/>
      <c r="X131" s="58"/>
      <c r="Y131" s="106">
        <v>4080.71</v>
      </c>
      <c r="Z131" s="121">
        <v>1070.28</v>
      </c>
      <c r="AA131" s="56">
        <v>8827.48</v>
      </c>
      <c r="AB131" s="11">
        <v>385.6</v>
      </c>
      <c r="AC131" s="10">
        <v>3779.01</v>
      </c>
      <c r="AD131" s="11">
        <v>662.88</v>
      </c>
      <c r="AE131" s="10">
        <v>2815.08</v>
      </c>
      <c r="AF131" s="11">
        <v>221.45</v>
      </c>
      <c r="AG131" s="11">
        <v>214.02</v>
      </c>
      <c r="AH131" s="11">
        <v>59.49</v>
      </c>
      <c r="AI131" s="91">
        <v>15635.59</v>
      </c>
      <c r="AJ131" s="121">
        <v>1329.42</v>
      </c>
      <c r="AK131" s="56">
        <v>30805.25</v>
      </c>
      <c r="AL131" s="10">
        <v>4293.28</v>
      </c>
      <c r="AM131" s="10">
        <v>3031.24</v>
      </c>
      <c r="AN131" s="11">
        <v>227.05</v>
      </c>
      <c r="AO131" s="10">
        <v>2757.3</v>
      </c>
      <c r="AP131" s="11">
        <v>347.44</v>
      </c>
      <c r="AQ131" s="11">
        <v>36.31</v>
      </c>
      <c r="AR131" s="11">
        <v>20</v>
      </c>
      <c r="AS131" s="11">
        <v>569.99</v>
      </c>
      <c r="AT131" s="11">
        <v>75.760000000000005</v>
      </c>
      <c r="AU131" s="91">
        <v>37200.089999999997</v>
      </c>
      <c r="AV131" s="121">
        <v>4963.53</v>
      </c>
      <c r="AW131" s="56">
        <v>4714.1400000000003</v>
      </c>
      <c r="AX131" s="11">
        <v>537.04</v>
      </c>
      <c r="AY131" s="10">
        <v>4741.6099999999997</v>
      </c>
      <c r="AZ131" s="11">
        <v>565.25</v>
      </c>
      <c r="BA131" s="11">
        <v>9.9600000000000009</v>
      </c>
      <c r="BB131" s="11">
        <v>1.63</v>
      </c>
      <c r="BC131" s="11">
        <v>108.72</v>
      </c>
      <c r="BD131" s="11">
        <v>24.22</v>
      </c>
      <c r="BE131" s="91">
        <v>9574.43</v>
      </c>
      <c r="BF131" s="121">
        <v>1128.1500000000001</v>
      </c>
      <c r="BG131" s="56">
        <v>21616.92</v>
      </c>
      <c r="BH131" s="177">
        <v>1186.78</v>
      </c>
      <c r="BI131" s="148">
        <v>99441.32</v>
      </c>
      <c r="BJ131" s="182">
        <v>13477.68</v>
      </c>
    </row>
    <row r="132" spans="1:62" x14ac:dyDescent="0.25">
      <c r="A132" s="282"/>
      <c r="B132" s="285"/>
      <c r="C132" s="9">
        <v>5</v>
      </c>
      <c r="D132" s="237">
        <v>125</v>
      </c>
      <c r="E132" s="56">
        <v>12400.86</v>
      </c>
      <c r="F132" s="52">
        <v>3552.32</v>
      </c>
      <c r="G132" s="57"/>
      <c r="H132" s="57"/>
      <c r="I132" s="57"/>
      <c r="J132" s="57"/>
      <c r="K132" s="54">
        <v>144.88999999999999</v>
      </c>
      <c r="L132" s="11">
        <v>69.13</v>
      </c>
      <c r="M132" s="10">
        <v>7133.79</v>
      </c>
      <c r="N132" s="10">
        <v>2676.64</v>
      </c>
      <c r="O132" s="91">
        <v>19679.53</v>
      </c>
      <c r="P132" s="121">
        <v>6298.08</v>
      </c>
      <c r="Q132" s="56">
        <v>4738.97</v>
      </c>
      <c r="R132" s="10">
        <v>1188.23</v>
      </c>
      <c r="S132" s="11">
        <v>32.880000000000003</v>
      </c>
      <c r="T132" s="11">
        <v>30.7</v>
      </c>
      <c r="U132" s="11">
        <v>553.33000000000004</v>
      </c>
      <c r="V132" s="55">
        <v>141.94</v>
      </c>
      <c r="W132" s="58"/>
      <c r="X132" s="58"/>
      <c r="Y132" s="106">
        <v>5325.18</v>
      </c>
      <c r="Z132" s="121">
        <v>1360.88</v>
      </c>
      <c r="AA132" s="56">
        <v>11672.49</v>
      </c>
      <c r="AB132" s="11">
        <v>552.15</v>
      </c>
      <c r="AC132" s="10">
        <v>4491.09</v>
      </c>
      <c r="AD132" s="11">
        <v>776.12</v>
      </c>
      <c r="AE132" s="10">
        <v>4390.7700000000004</v>
      </c>
      <c r="AF132" s="11">
        <v>351.48</v>
      </c>
      <c r="AG132" s="11">
        <v>282.32</v>
      </c>
      <c r="AH132" s="11">
        <v>71.739999999999995</v>
      </c>
      <c r="AI132" s="91">
        <v>20836.669999999998</v>
      </c>
      <c r="AJ132" s="121">
        <v>1751.5</v>
      </c>
      <c r="AK132" s="56">
        <v>44407.88</v>
      </c>
      <c r="AL132" s="10">
        <v>6269.83</v>
      </c>
      <c r="AM132" s="10">
        <v>4568.26</v>
      </c>
      <c r="AN132" s="11">
        <v>333</v>
      </c>
      <c r="AO132" s="10">
        <v>4175.12</v>
      </c>
      <c r="AP132" s="11">
        <v>550.79999999999995</v>
      </c>
      <c r="AQ132" s="11">
        <v>95.02</v>
      </c>
      <c r="AR132" s="11">
        <v>55.01</v>
      </c>
      <c r="AS132" s="11">
        <v>641.69000000000005</v>
      </c>
      <c r="AT132" s="11">
        <v>70.73</v>
      </c>
      <c r="AU132" s="91">
        <v>53887.97</v>
      </c>
      <c r="AV132" s="121">
        <v>7279.37</v>
      </c>
      <c r="AW132" s="56">
        <v>6476.21</v>
      </c>
      <c r="AX132" s="11">
        <v>707.66</v>
      </c>
      <c r="AY132" s="10">
        <v>6609.63</v>
      </c>
      <c r="AZ132" s="11">
        <v>800.69</v>
      </c>
      <c r="BA132" s="11">
        <v>260.76</v>
      </c>
      <c r="BB132" s="11">
        <v>39.57</v>
      </c>
      <c r="BC132" s="11">
        <v>105.39</v>
      </c>
      <c r="BD132" s="11">
        <v>19.350000000000001</v>
      </c>
      <c r="BE132" s="91">
        <v>13451.99</v>
      </c>
      <c r="BF132" s="121">
        <v>1567.27</v>
      </c>
      <c r="BG132" s="56">
        <v>27308.86</v>
      </c>
      <c r="BH132" s="177">
        <v>1593.09</v>
      </c>
      <c r="BI132" s="148">
        <v>140490.21</v>
      </c>
      <c r="BJ132" s="182">
        <v>19850.189999999999</v>
      </c>
    </row>
    <row r="133" spans="1:62" x14ac:dyDescent="0.25">
      <c r="A133" s="282"/>
      <c r="B133" s="285"/>
      <c r="C133" s="9">
        <v>6</v>
      </c>
      <c r="D133" s="237">
        <v>126</v>
      </c>
      <c r="E133" s="56">
        <v>13023.65</v>
      </c>
      <c r="F133" s="52">
        <v>3806.57</v>
      </c>
      <c r="G133" s="57"/>
      <c r="H133" s="57"/>
      <c r="I133" s="57"/>
      <c r="J133" s="57"/>
      <c r="K133" s="54">
        <v>147.94</v>
      </c>
      <c r="L133" s="11">
        <v>73.88</v>
      </c>
      <c r="M133" s="10">
        <v>7712.24</v>
      </c>
      <c r="N133" s="10">
        <v>2882.53</v>
      </c>
      <c r="O133" s="91">
        <v>20883.830000000002</v>
      </c>
      <c r="P133" s="121">
        <v>6762.98</v>
      </c>
      <c r="Q133" s="56">
        <v>5006.3900000000003</v>
      </c>
      <c r="R133" s="10">
        <v>1272.74</v>
      </c>
      <c r="S133" s="11">
        <v>22.02</v>
      </c>
      <c r="T133" s="11">
        <v>18.68</v>
      </c>
      <c r="U133" s="11">
        <v>600.36</v>
      </c>
      <c r="V133" s="55">
        <v>166.16</v>
      </c>
      <c r="W133" s="58"/>
      <c r="X133" s="58"/>
      <c r="Y133" s="106">
        <v>5628.77</v>
      </c>
      <c r="Z133" s="121">
        <v>1457.59</v>
      </c>
      <c r="AA133" s="56">
        <v>11944.12</v>
      </c>
      <c r="AB133" s="11">
        <v>588.44000000000005</v>
      </c>
      <c r="AC133" s="10">
        <v>4407.16</v>
      </c>
      <c r="AD133" s="11">
        <v>846.79</v>
      </c>
      <c r="AE133" s="10">
        <v>3023.71</v>
      </c>
      <c r="AF133" s="11">
        <v>221.91</v>
      </c>
      <c r="AG133" s="11">
        <v>265.24</v>
      </c>
      <c r="AH133" s="11">
        <v>65.92</v>
      </c>
      <c r="AI133" s="91">
        <v>19640.23</v>
      </c>
      <c r="AJ133" s="121">
        <v>1723.06</v>
      </c>
      <c r="AK133" s="56">
        <v>40854.31</v>
      </c>
      <c r="AL133" s="10">
        <v>5795.77</v>
      </c>
      <c r="AM133" s="10">
        <v>3932.12</v>
      </c>
      <c r="AN133" s="11">
        <v>289.88</v>
      </c>
      <c r="AO133" s="10">
        <v>4052.95</v>
      </c>
      <c r="AP133" s="11">
        <v>548.45000000000005</v>
      </c>
      <c r="AQ133" s="11">
        <v>94</v>
      </c>
      <c r="AR133" s="11">
        <v>51.66</v>
      </c>
      <c r="AS133" s="11">
        <v>265.27</v>
      </c>
      <c r="AT133" s="11">
        <v>42.06</v>
      </c>
      <c r="AU133" s="91">
        <v>49198.65</v>
      </c>
      <c r="AV133" s="121">
        <v>6727.81</v>
      </c>
      <c r="AW133" s="56">
        <v>6183.51</v>
      </c>
      <c r="AX133" s="11">
        <v>697.13</v>
      </c>
      <c r="AY133" s="10">
        <v>6598.5</v>
      </c>
      <c r="AZ133" s="11">
        <v>826.73</v>
      </c>
      <c r="BA133" s="11">
        <v>12.85</v>
      </c>
      <c r="BB133" s="11">
        <v>2.17</v>
      </c>
      <c r="BC133" s="11">
        <v>116.41</v>
      </c>
      <c r="BD133" s="11">
        <v>32.43</v>
      </c>
      <c r="BE133" s="91">
        <v>12911.27</v>
      </c>
      <c r="BF133" s="121">
        <v>1558.45</v>
      </c>
      <c r="BG133" s="56">
        <v>25578.78</v>
      </c>
      <c r="BH133" s="177">
        <v>1492.32</v>
      </c>
      <c r="BI133" s="148">
        <v>133841.53</v>
      </c>
      <c r="BJ133" s="182">
        <v>19722.21</v>
      </c>
    </row>
    <row r="134" spans="1:62" x14ac:dyDescent="0.25">
      <c r="A134" s="282"/>
      <c r="B134" s="285"/>
      <c r="C134" s="9">
        <v>7</v>
      </c>
      <c r="D134" s="237">
        <v>127</v>
      </c>
      <c r="E134" s="56">
        <v>11478.93</v>
      </c>
      <c r="F134" s="52">
        <v>3383.69</v>
      </c>
      <c r="G134" s="57"/>
      <c r="H134" s="57"/>
      <c r="I134" s="57"/>
      <c r="J134" s="57"/>
      <c r="K134" s="54">
        <v>77.47</v>
      </c>
      <c r="L134" s="11">
        <v>43.14</v>
      </c>
      <c r="M134" s="10">
        <v>7471.75</v>
      </c>
      <c r="N134" s="10">
        <v>2864.43</v>
      </c>
      <c r="O134" s="91">
        <v>19028.150000000001</v>
      </c>
      <c r="P134" s="121">
        <v>6291.26</v>
      </c>
      <c r="Q134" s="56">
        <v>3836.4</v>
      </c>
      <c r="R134" s="11">
        <v>937.58</v>
      </c>
      <c r="S134" s="11">
        <v>13.92</v>
      </c>
      <c r="T134" s="11">
        <v>12.24</v>
      </c>
      <c r="U134" s="11">
        <v>546.26</v>
      </c>
      <c r="V134" s="55">
        <v>129.69999999999999</v>
      </c>
      <c r="W134" s="58"/>
      <c r="X134" s="58"/>
      <c r="Y134" s="106">
        <v>4396.58</v>
      </c>
      <c r="Z134" s="121">
        <v>1079.52</v>
      </c>
      <c r="AA134" s="56">
        <v>11240.56</v>
      </c>
      <c r="AB134" s="11">
        <v>523.57000000000005</v>
      </c>
      <c r="AC134" s="10">
        <v>3706.75</v>
      </c>
      <c r="AD134" s="11">
        <v>642.62</v>
      </c>
      <c r="AE134" s="10">
        <v>4668.2</v>
      </c>
      <c r="AF134" s="11">
        <v>318.88</v>
      </c>
      <c r="AG134" s="11">
        <v>228.74</v>
      </c>
      <c r="AH134" s="11">
        <v>69.989999999999995</v>
      </c>
      <c r="AI134" s="91">
        <v>19844.240000000002</v>
      </c>
      <c r="AJ134" s="121">
        <v>1555.06</v>
      </c>
      <c r="AK134" s="56">
        <v>38786</v>
      </c>
      <c r="AL134" s="10">
        <v>5387.38</v>
      </c>
      <c r="AM134" s="10">
        <v>3921.12</v>
      </c>
      <c r="AN134" s="11">
        <v>294.45</v>
      </c>
      <c r="AO134" s="10">
        <v>3870.36</v>
      </c>
      <c r="AP134" s="11">
        <v>470.07</v>
      </c>
      <c r="AQ134" s="11">
        <v>204.89</v>
      </c>
      <c r="AR134" s="11">
        <v>88.05</v>
      </c>
      <c r="AS134" s="11">
        <v>382.48</v>
      </c>
      <c r="AT134" s="11">
        <v>63.89</v>
      </c>
      <c r="AU134" s="91">
        <v>47164.85</v>
      </c>
      <c r="AV134" s="121">
        <v>6303.84</v>
      </c>
      <c r="AW134" s="56">
        <v>6030.68</v>
      </c>
      <c r="AX134" s="11">
        <v>649.67999999999995</v>
      </c>
      <c r="AY134" s="10">
        <v>6129.62</v>
      </c>
      <c r="AZ134" s="11">
        <v>762.39</v>
      </c>
      <c r="BA134" s="11">
        <v>25.25</v>
      </c>
      <c r="BB134" s="11">
        <v>3.89</v>
      </c>
      <c r="BC134" s="11">
        <v>102.63</v>
      </c>
      <c r="BD134" s="11">
        <v>43.91</v>
      </c>
      <c r="BE134" s="91">
        <v>12288.19</v>
      </c>
      <c r="BF134" s="121">
        <v>1459.88</v>
      </c>
      <c r="BG134" s="56">
        <v>26881.86</v>
      </c>
      <c r="BH134" s="177">
        <v>1501.94</v>
      </c>
      <c r="BI134" s="148">
        <v>129603.87</v>
      </c>
      <c r="BJ134" s="182">
        <v>18191.5</v>
      </c>
    </row>
    <row r="135" spans="1:62" x14ac:dyDescent="0.25">
      <c r="A135" s="282"/>
      <c r="B135" s="285"/>
      <c r="C135" s="9">
        <v>8</v>
      </c>
      <c r="D135" s="237">
        <v>128</v>
      </c>
      <c r="E135" s="56">
        <v>11595.19</v>
      </c>
      <c r="F135" s="52">
        <v>3515.97</v>
      </c>
      <c r="G135" s="9"/>
      <c r="H135" s="9"/>
      <c r="I135" s="9"/>
      <c r="J135" s="9"/>
      <c r="K135" s="56">
        <v>1013.74</v>
      </c>
      <c r="L135" s="11">
        <v>330</v>
      </c>
      <c r="M135" s="10">
        <v>8198.27</v>
      </c>
      <c r="N135" s="10">
        <v>3134.55</v>
      </c>
      <c r="O135" s="91">
        <v>20807.2</v>
      </c>
      <c r="P135" s="121">
        <v>6980.53</v>
      </c>
      <c r="Q135" s="56">
        <v>3497.92</v>
      </c>
      <c r="R135" s="11">
        <v>891.03</v>
      </c>
      <c r="S135" s="11">
        <v>17.829999999999998</v>
      </c>
      <c r="T135" s="11">
        <v>15.83</v>
      </c>
      <c r="U135" s="11">
        <v>629.70000000000005</v>
      </c>
      <c r="V135" s="55">
        <v>180.63</v>
      </c>
      <c r="W135" s="9"/>
      <c r="X135" s="9"/>
      <c r="Y135" s="106">
        <v>4145.45</v>
      </c>
      <c r="Z135" s="121">
        <v>1087.49</v>
      </c>
      <c r="AA135" s="56">
        <v>11542.93</v>
      </c>
      <c r="AB135" s="11">
        <v>617.45000000000005</v>
      </c>
      <c r="AC135" s="10">
        <v>4294.3500000000004</v>
      </c>
      <c r="AD135" s="11">
        <v>753.95</v>
      </c>
      <c r="AE135" s="10">
        <v>3227.36</v>
      </c>
      <c r="AF135" s="11">
        <v>222.34</v>
      </c>
      <c r="AG135" s="11">
        <v>239.16</v>
      </c>
      <c r="AH135" s="11">
        <v>74.86</v>
      </c>
      <c r="AI135" s="91">
        <v>19303.8</v>
      </c>
      <c r="AJ135" s="121">
        <v>1668.6</v>
      </c>
      <c r="AK135" s="56">
        <v>42379.55</v>
      </c>
      <c r="AL135" s="10">
        <v>6001.48</v>
      </c>
      <c r="AM135" s="10">
        <v>5189.3</v>
      </c>
      <c r="AN135" s="11">
        <v>377.54</v>
      </c>
      <c r="AO135" s="10">
        <v>3510.62</v>
      </c>
      <c r="AP135" s="11">
        <v>460.31</v>
      </c>
      <c r="AQ135" s="11">
        <v>133.02000000000001</v>
      </c>
      <c r="AR135" s="11">
        <v>89.49</v>
      </c>
      <c r="AS135" s="11">
        <v>322.19</v>
      </c>
      <c r="AT135" s="11">
        <v>58.14</v>
      </c>
      <c r="AU135" s="91">
        <v>51534.68</v>
      </c>
      <c r="AV135" s="121">
        <v>6986.95</v>
      </c>
      <c r="AW135" s="56">
        <v>6751.98</v>
      </c>
      <c r="AX135" s="11">
        <v>753.54</v>
      </c>
      <c r="AY135" s="10">
        <v>7233.66</v>
      </c>
      <c r="AZ135" s="11">
        <v>886.42</v>
      </c>
      <c r="BA135" s="11">
        <v>73.819999999999993</v>
      </c>
      <c r="BB135" s="11">
        <v>12.66</v>
      </c>
      <c r="BC135" s="11">
        <v>106.39</v>
      </c>
      <c r="BD135" s="11">
        <v>21</v>
      </c>
      <c r="BE135" s="91">
        <v>14165.85</v>
      </c>
      <c r="BF135" s="121">
        <v>1673.63</v>
      </c>
      <c r="BG135" s="56">
        <v>21921.21</v>
      </c>
      <c r="BH135" s="177">
        <v>1478</v>
      </c>
      <c r="BI135" s="148">
        <v>131878.20000000001</v>
      </c>
      <c r="BJ135" s="182">
        <v>19875.2</v>
      </c>
    </row>
    <row r="136" spans="1:62" x14ac:dyDescent="0.25">
      <c r="A136" s="282"/>
      <c r="B136" s="285"/>
      <c r="C136" s="9">
        <v>9</v>
      </c>
      <c r="D136" s="237">
        <v>129</v>
      </c>
      <c r="E136" s="56">
        <v>11193.63</v>
      </c>
      <c r="F136" s="52">
        <v>3289.28</v>
      </c>
      <c r="G136" s="9"/>
      <c r="H136" s="9"/>
      <c r="I136" s="9"/>
      <c r="J136" s="9"/>
      <c r="K136" s="56">
        <v>1434.35</v>
      </c>
      <c r="L136" s="11">
        <v>498.5</v>
      </c>
      <c r="M136" s="10">
        <v>8137.34</v>
      </c>
      <c r="N136" s="10">
        <v>3146.28</v>
      </c>
      <c r="O136" s="91">
        <v>20765.32</v>
      </c>
      <c r="P136" s="121">
        <v>6934.06</v>
      </c>
      <c r="Q136" s="56">
        <v>3456.62</v>
      </c>
      <c r="R136" s="11">
        <v>859.7</v>
      </c>
      <c r="S136" s="11">
        <v>13.41</v>
      </c>
      <c r="T136" s="11">
        <v>14.92</v>
      </c>
      <c r="U136" s="11">
        <v>580.99</v>
      </c>
      <c r="V136" s="55">
        <v>151.07</v>
      </c>
      <c r="W136" s="9"/>
      <c r="X136" s="9"/>
      <c r="Y136" s="106">
        <v>4051.01</v>
      </c>
      <c r="Z136" s="121">
        <v>1025.68</v>
      </c>
      <c r="AA136" s="56">
        <v>10680.66</v>
      </c>
      <c r="AB136" s="11">
        <v>535.05999999999995</v>
      </c>
      <c r="AC136" s="10">
        <v>4143</v>
      </c>
      <c r="AD136" s="11">
        <v>713.78</v>
      </c>
      <c r="AE136" s="10">
        <v>4986.6099999999997</v>
      </c>
      <c r="AF136" s="11">
        <v>310.69</v>
      </c>
      <c r="AG136" s="11">
        <v>230.12</v>
      </c>
      <c r="AH136" s="11">
        <v>94.01</v>
      </c>
      <c r="AI136" s="91">
        <v>20040.39</v>
      </c>
      <c r="AJ136" s="121">
        <v>1653.54</v>
      </c>
      <c r="AK136" s="56">
        <v>40209.22</v>
      </c>
      <c r="AL136" s="10">
        <v>5777.17</v>
      </c>
      <c r="AM136" s="10">
        <v>4762.92</v>
      </c>
      <c r="AN136" s="11">
        <v>337.62</v>
      </c>
      <c r="AO136" s="10">
        <v>4157.3900000000003</v>
      </c>
      <c r="AP136" s="11">
        <v>546.08000000000004</v>
      </c>
      <c r="AQ136" s="11">
        <v>137.91999999999999</v>
      </c>
      <c r="AR136" s="11">
        <v>81.849999999999994</v>
      </c>
      <c r="AS136" s="11">
        <v>826.03</v>
      </c>
      <c r="AT136" s="11">
        <v>77.790000000000006</v>
      </c>
      <c r="AU136" s="91">
        <v>50093.49</v>
      </c>
      <c r="AV136" s="121">
        <v>6820.5</v>
      </c>
      <c r="AW136" s="56">
        <v>6463.03</v>
      </c>
      <c r="AX136" s="11">
        <v>684.88</v>
      </c>
      <c r="AY136" s="10">
        <v>7586.35</v>
      </c>
      <c r="AZ136" s="11">
        <v>924.42</v>
      </c>
      <c r="BA136" s="11">
        <v>266.54000000000002</v>
      </c>
      <c r="BB136" s="11">
        <v>18.32</v>
      </c>
      <c r="BC136" s="11">
        <v>116.11</v>
      </c>
      <c r="BD136" s="11">
        <v>18.12</v>
      </c>
      <c r="BE136" s="91">
        <v>14432.03</v>
      </c>
      <c r="BF136" s="121">
        <v>1645.74</v>
      </c>
      <c r="BG136" s="56">
        <v>18723.71</v>
      </c>
      <c r="BH136" s="177">
        <v>1387.2</v>
      </c>
      <c r="BI136" s="148">
        <v>128105.95</v>
      </c>
      <c r="BJ136" s="182">
        <v>19466.73</v>
      </c>
    </row>
    <row r="137" spans="1:62" x14ac:dyDescent="0.25">
      <c r="A137" s="282"/>
      <c r="B137" s="285"/>
      <c r="C137" s="9">
        <v>10</v>
      </c>
      <c r="D137" s="237">
        <v>130</v>
      </c>
      <c r="E137" s="56">
        <v>10588.41</v>
      </c>
      <c r="F137" s="52">
        <v>3009.23</v>
      </c>
      <c r="G137" s="9"/>
      <c r="H137" s="9"/>
      <c r="I137" s="9"/>
      <c r="J137" s="9"/>
      <c r="K137" s="56">
        <v>1471.53</v>
      </c>
      <c r="L137" s="11">
        <v>464.58</v>
      </c>
      <c r="M137" s="10">
        <v>8266.77</v>
      </c>
      <c r="N137" s="10">
        <v>3154.86</v>
      </c>
      <c r="O137" s="91">
        <v>20326.7</v>
      </c>
      <c r="P137" s="121">
        <v>6628.67</v>
      </c>
      <c r="Q137" s="56">
        <v>3465.17</v>
      </c>
      <c r="R137" s="11">
        <v>885.75</v>
      </c>
      <c r="S137" s="11">
        <v>50.63</v>
      </c>
      <c r="T137" s="11">
        <v>40.85</v>
      </c>
      <c r="U137" s="11">
        <v>512.02</v>
      </c>
      <c r="V137" s="55">
        <v>140.47999999999999</v>
      </c>
      <c r="W137" s="9"/>
      <c r="X137" s="9"/>
      <c r="Y137" s="106">
        <v>4027.81</v>
      </c>
      <c r="Z137" s="121">
        <v>1067.07</v>
      </c>
      <c r="AA137" s="56">
        <v>10766.33</v>
      </c>
      <c r="AB137" s="11">
        <v>507.22</v>
      </c>
      <c r="AC137" s="10">
        <v>4232.9799999999996</v>
      </c>
      <c r="AD137" s="11">
        <v>660.92</v>
      </c>
      <c r="AE137" s="10">
        <v>2003.8</v>
      </c>
      <c r="AF137" s="11">
        <v>134.55000000000001</v>
      </c>
      <c r="AG137" s="11">
        <v>201.37</v>
      </c>
      <c r="AH137" s="11">
        <v>75.010000000000005</v>
      </c>
      <c r="AI137" s="91">
        <v>17204.47</v>
      </c>
      <c r="AJ137" s="121">
        <v>1377.71</v>
      </c>
      <c r="AK137" s="56">
        <v>40334.559999999998</v>
      </c>
      <c r="AL137" s="10">
        <v>5982.42</v>
      </c>
      <c r="AM137" s="10">
        <v>4621.1000000000004</v>
      </c>
      <c r="AN137" s="11">
        <v>324.97000000000003</v>
      </c>
      <c r="AO137" s="10">
        <v>4022.14</v>
      </c>
      <c r="AP137" s="11">
        <v>509.65</v>
      </c>
      <c r="AQ137" s="11">
        <v>176.68</v>
      </c>
      <c r="AR137" s="11">
        <v>100.74</v>
      </c>
      <c r="AS137" s="11">
        <v>265.7</v>
      </c>
      <c r="AT137" s="11">
        <v>35.090000000000003</v>
      </c>
      <c r="AU137" s="91">
        <v>49420.19</v>
      </c>
      <c r="AV137" s="121">
        <v>6952.88</v>
      </c>
      <c r="AW137" s="56">
        <v>6588.4</v>
      </c>
      <c r="AX137" s="11">
        <v>950.1</v>
      </c>
      <c r="AY137" s="10">
        <v>8218.74</v>
      </c>
      <c r="AZ137" s="11">
        <v>998.77</v>
      </c>
      <c r="BA137" s="11">
        <v>418.23</v>
      </c>
      <c r="BB137" s="11">
        <v>45.48</v>
      </c>
      <c r="BC137" s="11">
        <v>143.24</v>
      </c>
      <c r="BD137" s="11">
        <v>38.99</v>
      </c>
      <c r="BE137" s="91">
        <v>15368.62</v>
      </c>
      <c r="BF137" s="121">
        <v>2033.35</v>
      </c>
      <c r="BG137" s="56">
        <v>21669.759999999998</v>
      </c>
      <c r="BH137" s="177">
        <v>1400.1</v>
      </c>
      <c r="BI137" s="148">
        <v>128017.55</v>
      </c>
      <c r="BJ137" s="182">
        <v>19459.77</v>
      </c>
    </row>
    <row r="138" spans="1:62" x14ac:dyDescent="0.25">
      <c r="A138" s="282"/>
      <c r="B138" s="285"/>
      <c r="C138" s="9">
        <v>11</v>
      </c>
      <c r="D138" s="237">
        <v>131</v>
      </c>
      <c r="E138" s="56">
        <v>10800.45</v>
      </c>
      <c r="F138" s="52">
        <v>3227.5</v>
      </c>
      <c r="G138" s="9"/>
      <c r="H138" s="9"/>
      <c r="I138" s="9"/>
      <c r="J138" s="9"/>
      <c r="K138" s="56">
        <v>1691.13</v>
      </c>
      <c r="L138" s="11">
        <v>544.24</v>
      </c>
      <c r="M138" s="10">
        <v>7945.09</v>
      </c>
      <c r="N138" s="10">
        <v>2913.24</v>
      </c>
      <c r="O138" s="91">
        <v>20436.68</v>
      </c>
      <c r="P138" s="121">
        <v>6684.99</v>
      </c>
      <c r="Q138" s="56">
        <v>3180.17</v>
      </c>
      <c r="R138" s="11">
        <v>855.26</v>
      </c>
      <c r="S138" s="11">
        <v>48.55</v>
      </c>
      <c r="T138" s="11">
        <v>22.37</v>
      </c>
      <c r="U138" s="11">
        <v>653.16999999999996</v>
      </c>
      <c r="V138" s="55">
        <v>187.51</v>
      </c>
      <c r="W138" s="9"/>
      <c r="X138" s="9"/>
      <c r="Y138" s="106">
        <v>3881.89</v>
      </c>
      <c r="Z138" s="121">
        <v>1065.1400000000001</v>
      </c>
      <c r="AA138" s="56">
        <v>11352.44</v>
      </c>
      <c r="AB138" s="11">
        <v>563.16</v>
      </c>
      <c r="AC138" s="10">
        <v>4367.66</v>
      </c>
      <c r="AD138" s="11">
        <v>695.59</v>
      </c>
      <c r="AE138" s="10">
        <v>2925.88</v>
      </c>
      <c r="AF138" s="11">
        <v>218.44</v>
      </c>
      <c r="AG138" s="11">
        <v>223.1</v>
      </c>
      <c r="AH138" s="11">
        <v>75.459999999999994</v>
      </c>
      <c r="AI138" s="91">
        <v>18869.09</v>
      </c>
      <c r="AJ138" s="121">
        <v>1552.64</v>
      </c>
      <c r="AK138" s="56">
        <v>42278.07</v>
      </c>
      <c r="AL138" s="10">
        <v>6539.87</v>
      </c>
      <c r="AM138" s="10">
        <v>4336.59</v>
      </c>
      <c r="AN138" s="11">
        <v>311.10000000000002</v>
      </c>
      <c r="AO138" s="10">
        <v>3433.69</v>
      </c>
      <c r="AP138" s="11">
        <v>501.67</v>
      </c>
      <c r="AQ138" s="11">
        <v>139.76</v>
      </c>
      <c r="AR138" s="11">
        <v>66.22</v>
      </c>
      <c r="AS138" s="11">
        <v>178.86</v>
      </c>
      <c r="AT138" s="11">
        <v>29.47</v>
      </c>
      <c r="AU138" s="91">
        <v>50366.97</v>
      </c>
      <c r="AV138" s="121">
        <v>7448.34</v>
      </c>
      <c r="AW138" s="56">
        <v>6598.67</v>
      </c>
      <c r="AX138" s="11">
        <v>728.2</v>
      </c>
      <c r="AY138" s="10">
        <v>8762.08</v>
      </c>
      <c r="AZ138" s="10">
        <v>1017.32</v>
      </c>
      <c r="BA138" s="10">
        <v>1020.94</v>
      </c>
      <c r="BB138" s="11">
        <v>196.75</v>
      </c>
      <c r="BC138" s="11">
        <v>206.82</v>
      </c>
      <c r="BD138" s="11">
        <v>45.49</v>
      </c>
      <c r="BE138" s="91">
        <v>16588.5</v>
      </c>
      <c r="BF138" s="121">
        <v>1987.76</v>
      </c>
      <c r="BG138" s="56">
        <v>20004.060000000001</v>
      </c>
      <c r="BH138" s="177">
        <v>1402.84</v>
      </c>
      <c r="BI138" s="148">
        <v>130147.19</v>
      </c>
      <c r="BJ138" s="182">
        <v>20141.7</v>
      </c>
    </row>
    <row r="139" spans="1:62" x14ac:dyDescent="0.25">
      <c r="A139" s="283"/>
      <c r="B139" s="286"/>
      <c r="C139" s="9">
        <v>12</v>
      </c>
      <c r="D139" s="237">
        <v>132</v>
      </c>
      <c r="E139" s="56">
        <v>9700.06</v>
      </c>
      <c r="F139" s="52">
        <v>2774.54</v>
      </c>
      <c r="G139" s="9"/>
      <c r="H139" s="9"/>
      <c r="I139" s="9"/>
      <c r="J139" s="9"/>
      <c r="K139" s="56">
        <v>1582.73</v>
      </c>
      <c r="L139" s="11">
        <v>497.95</v>
      </c>
      <c r="M139" s="10">
        <v>6428.55</v>
      </c>
      <c r="N139" s="10">
        <v>2382.36</v>
      </c>
      <c r="O139" s="91">
        <v>17711.34</v>
      </c>
      <c r="P139" s="121">
        <v>5654.85</v>
      </c>
      <c r="Q139" s="56">
        <v>3247.47</v>
      </c>
      <c r="R139" s="11">
        <v>804.11</v>
      </c>
      <c r="S139" s="11">
        <v>42.62</v>
      </c>
      <c r="T139" s="11">
        <v>30.33</v>
      </c>
      <c r="U139" s="11">
        <v>714.42</v>
      </c>
      <c r="V139" s="55">
        <v>168.69</v>
      </c>
      <c r="W139" s="9"/>
      <c r="X139" s="9"/>
      <c r="Y139" s="106">
        <v>4004.52</v>
      </c>
      <c r="Z139" s="121">
        <v>1003.13</v>
      </c>
      <c r="AA139" s="56">
        <v>11604.91</v>
      </c>
      <c r="AB139" s="11">
        <v>556.19000000000005</v>
      </c>
      <c r="AC139" s="10">
        <v>3698.01</v>
      </c>
      <c r="AD139" s="11">
        <v>584.83000000000004</v>
      </c>
      <c r="AE139" s="10">
        <v>2636.67</v>
      </c>
      <c r="AF139" s="11">
        <v>162.56</v>
      </c>
      <c r="AG139" s="11">
        <v>240.97</v>
      </c>
      <c r="AH139" s="11">
        <v>71.02</v>
      </c>
      <c r="AI139" s="91">
        <v>18180.560000000001</v>
      </c>
      <c r="AJ139" s="121">
        <v>1374.6</v>
      </c>
      <c r="AK139" s="56">
        <v>38861.61</v>
      </c>
      <c r="AL139" s="10">
        <v>5947.19</v>
      </c>
      <c r="AM139" s="10">
        <v>5079.33</v>
      </c>
      <c r="AN139" s="11">
        <v>364.26</v>
      </c>
      <c r="AO139" s="10">
        <v>4561</v>
      </c>
      <c r="AP139" s="11">
        <v>729.54</v>
      </c>
      <c r="AQ139" s="11">
        <v>79.64</v>
      </c>
      <c r="AR139" s="11">
        <v>47.4</v>
      </c>
      <c r="AS139" s="11">
        <v>390.33</v>
      </c>
      <c r="AT139" s="11">
        <v>43.28</v>
      </c>
      <c r="AU139" s="91">
        <v>48971.91</v>
      </c>
      <c r="AV139" s="121">
        <v>7131.66</v>
      </c>
      <c r="AW139" s="56">
        <v>6088.58</v>
      </c>
      <c r="AX139" s="11">
        <v>642.23</v>
      </c>
      <c r="AY139" s="10">
        <v>8555.43</v>
      </c>
      <c r="AZ139" s="11">
        <v>961.51</v>
      </c>
      <c r="BA139" s="11">
        <v>211.03</v>
      </c>
      <c r="BB139" s="11">
        <v>23.1</v>
      </c>
      <c r="BC139" s="11">
        <v>162.37</v>
      </c>
      <c r="BD139" s="11">
        <v>30.36</v>
      </c>
      <c r="BE139" s="91">
        <v>15017.4</v>
      </c>
      <c r="BF139" s="121">
        <v>1657.2</v>
      </c>
      <c r="BG139" s="56">
        <v>18807.810000000001</v>
      </c>
      <c r="BH139" s="177">
        <v>1174.04</v>
      </c>
      <c r="BI139" s="148">
        <v>122693.54</v>
      </c>
      <c r="BJ139" s="182">
        <v>17995.490000000002</v>
      </c>
    </row>
    <row r="140" spans="1:62" x14ac:dyDescent="0.25">
      <c r="A140" s="287">
        <v>2561</v>
      </c>
      <c r="B140" s="290">
        <v>2018</v>
      </c>
      <c r="C140" s="18">
        <v>1</v>
      </c>
      <c r="D140" s="239">
        <v>133</v>
      </c>
      <c r="E140" s="61">
        <v>7363.51</v>
      </c>
      <c r="F140" s="19">
        <v>2023.43</v>
      </c>
      <c r="G140" s="18"/>
      <c r="H140" s="18"/>
      <c r="I140" s="18"/>
      <c r="J140" s="18"/>
      <c r="K140" s="19">
        <v>1249.28</v>
      </c>
      <c r="L140" s="20">
        <v>370.64</v>
      </c>
      <c r="M140" s="19">
        <v>5155.1899999999996</v>
      </c>
      <c r="N140" s="19">
        <v>1904.03</v>
      </c>
      <c r="O140" s="93">
        <v>13767.98</v>
      </c>
      <c r="P140" s="123">
        <v>4298.09</v>
      </c>
      <c r="Q140" s="61">
        <v>3654.03</v>
      </c>
      <c r="R140" s="20">
        <v>932.94</v>
      </c>
      <c r="S140" s="20">
        <v>32.82</v>
      </c>
      <c r="T140" s="20">
        <v>28.54</v>
      </c>
      <c r="U140" s="20">
        <v>529.16</v>
      </c>
      <c r="V140" s="20">
        <v>149.33000000000001</v>
      </c>
      <c r="W140" s="20">
        <v>0</v>
      </c>
      <c r="X140" s="20">
        <v>0</v>
      </c>
      <c r="Y140" s="93">
        <v>4216.01</v>
      </c>
      <c r="Z140" s="123">
        <v>1110.82</v>
      </c>
      <c r="AA140" s="61">
        <v>11911.92</v>
      </c>
      <c r="AB140" s="20">
        <v>498.69</v>
      </c>
      <c r="AC140" s="19">
        <v>3713.62</v>
      </c>
      <c r="AD140" s="20">
        <v>602.47</v>
      </c>
      <c r="AE140" s="19">
        <v>3296.29</v>
      </c>
      <c r="AF140" s="20">
        <v>232.75</v>
      </c>
      <c r="AG140" s="20">
        <v>266.89999999999998</v>
      </c>
      <c r="AH140" s="20">
        <v>84.74</v>
      </c>
      <c r="AI140" s="93">
        <v>19188.73</v>
      </c>
      <c r="AJ140" s="123">
        <v>1418.65</v>
      </c>
      <c r="AK140" s="61">
        <v>39661.599999999999</v>
      </c>
      <c r="AL140" s="19">
        <v>6001.24</v>
      </c>
      <c r="AM140" s="19">
        <v>5154.88</v>
      </c>
      <c r="AN140" s="20">
        <v>347.45</v>
      </c>
      <c r="AO140" s="19">
        <v>4115.3500000000004</v>
      </c>
      <c r="AP140" s="20">
        <v>626.80999999999995</v>
      </c>
      <c r="AQ140" s="20">
        <v>107.23</v>
      </c>
      <c r="AR140" s="20">
        <v>54.89</v>
      </c>
      <c r="AS140" s="20">
        <v>324.89</v>
      </c>
      <c r="AT140" s="20">
        <v>36.71</v>
      </c>
      <c r="AU140" s="93">
        <v>49363.94</v>
      </c>
      <c r="AV140" s="123">
        <v>7067.11</v>
      </c>
      <c r="AW140" s="61">
        <v>6736.95</v>
      </c>
      <c r="AX140" s="20">
        <v>744.07</v>
      </c>
      <c r="AY140" s="19">
        <v>6765.11</v>
      </c>
      <c r="AZ140" s="20">
        <v>766.98</v>
      </c>
      <c r="BA140" s="20">
        <v>64.040000000000006</v>
      </c>
      <c r="BB140" s="20">
        <v>6.17</v>
      </c>
      <c r="BC140" s="20">
        <v>87.2</v>
      </c>
      <c r="BD140" s="20">
        <v>15.63</v>
      </c>
      <c r="BE140" s="93">
        <v>13653.3</v>
      </c>
      <c r="BF140" s="123">
        <v>1532.84</v>
      </c>
      <c r="BG140" s="61">
        <v>30970.69</v>
      </c>
      <c r="BH140" s="166">
        <v>1738.78</v>
      </c>
      <c r="BI140" s="150">
        <v>131160.65</v>
      </c>
      <c r="BJ140" s="184">
        <v>17166.28</v>
      </c>
    </row>
    <row r="141" spans="1:62" x14ac:dyDescent="0.25">
      <c r="A141" s="288"/>
      <c r="B141" s="291"/>
      <c r="C141" s="18">
        <v>2</v>
      </c>
      <c r="D141" s="239">
        <v>134</v>
      </c>
      <c r="E141" s="61">
        <v>6810.39</v>
      </c>
      <c r="F141" s="59">
        <v>1843.53</v>
      </c>
      <c r="G141" s="18"/>
      <c r="H141" s="18"/>
      <c r="I141" s="18"/>
      <c r="J141" s="18"/>
      <c r="K141" s="60">
        <v>904.18</v>
      </c>
      <c r="L141" s="20">
        <v>272.44</v>
      </c>
      <c r="M141" s="19">
        <v>4931.54</v>
      </c>
      <c r="N141" s="19">
        <v>1759.51</v>
      </c>
      <c r="O141" s="93">
        <v>12646.1</v>
      </c>
      <c r="P141" s="123">
        <v>3875.48</v>
      </c>
      <c r="Q141" s="61">
        <v>3958.44</v>
      </c>
      <c r="R141" s="20">
        <v>975.82</v>
      </c>
      <c r="S141" s="20">
        <v>16.420000000000002</v>
      </c>
      <c r="T141" s="20">
        <v>15.08</v>
      </c>
      <c r="U141" s="20">
        <v>555.12</v>
      </c>
      <c r="V141" s="20">
        <v>135.84</v>
      </c>
      <c r="W141" s="20">
        <v>0</v>
      </c>
      <c r="X141" s="20">
        <v>0</v>
      </c>
      <c r="Y141" s="93">
        <v>4529.97</v>
      </c>
      <c r="Z141" s="123">
        <v>1126.73</v>
      </c>
      <c r="AA141" s="61">
        <v>9398.42</v>
      </c>
      <c r="AB141" s="20">
        <v>409.5</v>
      </c>
      <c r="AC141" s="19">
        <v>3510.01</v>
      </c>
      <c r="AD141" s="20">
        <v>524.77</v>
      </c>
      <c r="AE141" s="19">
        <v>2414.0300000000002</v>
      </c>
      <c r="AF141" s="20">
        <v>192.01</v>
      </c>
      <c r="AG141" s="20">
        <v>251.75</v>
      </c>
      <c r="AH141" s="20">
        <v>72.069999999999993</v>
      </c>
      <c r="AI141" s="93">
        <v>15574.2</v>
      </c>
      <c r="AJ141" s="123">
        <v>1198.3499999999999</v>
      </c>
      <c r="AK141" s="61">
        <v>33063.050000000003</v>
      </c>
      <c r="AL141" s="19">
        <v>4734.62</v>
      </c>
      <c r="AM141" s="19">
        <v>3843.85</v>
      </c>
      <c r="AN141" s="20">
        <v>279.39</v>
      </c>
      <c r="AO141" s="19">
        <v>3599.84</v>
      </c>
      <c r="AP141" s="20">
        <v>533.35</v>
      </c>
      <c r="AQ141" s="20">
        <v>192.8</v>
      </c>
      <c r="AR141" s="20">
        <v>57.64</v>
      </c>
      <c r="AS141" s="20">
        <v>351.23</v>
      </c>
      <c r="AT141" s="20">
        <v>39.799999999999997</v>
      </c>
      <c r="AU141" s="93">
        <v>41050.769999999997</v>
      </c>
      <c r="AV141" s="123">
        <v>5644.8</v>
      </c>
      <c r="AW141" s="61">
        <v>7018.18</v>
      </c>
      <c r="AX141" s="20">
        <v>711.66</v>
      </c>
      <c r="AY141" s="19">
        <v>6990.86</v>
      </c>
      <c r="AZ141" s="20">
        <v>778.17</v>
      </c>
      <c r="BA141" s="20">
        <v>30.3</v>
      </c>
      <c r="BB141" s="20">
        <v>4.17</v>
      </c>
      <c r="BC141" s="20">
        <v>106.75</v>
      </c>
      <c r="BD141" s="20">
        <v>27.48</v>
      </c>
      <c r="BE141" s="93">
        <v>14146.08</v>
      </c>
      <c r="BF141" s="123">
        <v>1521.48</v>
      </c>
      <c r="BG141" s="61">
        <v>24667.97</v>
      </c>
      <c r="BH141" s="166">
        <v>1444.7</v>
      </c>
      <c r="BI141" s="150">
        <v>112615.1</v>
      </c>
      <c r="BJ141" s="184">
        <v>14811.55</v>
      </c>
    </row>
    <row r="142" spans="1:62" x14ac:dyDescent="0.25">
      <c r="A142" s="288"/>
      <c r="B142" s="291"/>
      <c r="C142" s="18">
        <v>3</v>
      </c>
      <c r="D142" s="239">
        <v>135</v>
      </c>
      <c r="E142" s="61">
        <v>7523.77</v>
      </c>
      <c r="F142" s="59">
        <v>2126.69</v>
      </c>
      <c r="G142" s="18"/>
      <c r="H142" s="18"/>
      <c r="I142" s="18"/>
      <c r="J142" s="18"/>
      <c r="K142" s="61">
        <v>1389.95</v>
      </c>
      <c r="L142" s="20">
        <v>420.04</v>
      </c>
      <c r="M142" s="19">
        <v>5252.13</v>
      </c>
      <c r="N142" s="19">
        <v>1894.9</v>
      </c>
      <c r="O142" s="93">
        <v>14165.85</v>
      </c>
      <c r="P142" s="123">
        <v>4441.63</v>
      </c>
      <c r="Q142" s="61">
        <v>3807.48</v>
      </c>
      <c r="R142" s="20">
        <v>931.23</v>
      </c>
      <c r="S142" s="20">
        <v>51.14</v>
      </c>
      <c r="T142" s="20">
        <v>38.520000000000003</v>
      </c>
      <c r="U142" s="20">
        <v>550.91</v>
      </c>
      <c r="V142" s="20">
        <v>146.62</v>
      </c>
      <c r="W142" s="20">
        <v>0</v>
      </c>
      <c r="X142" s="20">
        <v>0</v>
      </c>
      <c r="Y142" s="93">
        <v>4409.53</v>
      </c>
      <c r="Z142" s="123">
        <v>1116.3800000000001</v>
      </c>
      <c r="AA142" s="61">
        <v>13579.76</v>
      </c>
      <c r="AB142" s="20">
        <v>635.87</v>
      </c>
      <c r="AC142" s="19">
        <v>4650.59</v>
      </c>
      <c r="AD142" s="19">
        <v>1013.49</v>
      </c>
      <c r="AE142" s="19">
        <v>2998.57</v>
      </c>
      <c r="AF142" s="20">
        <v>248.81</v>
      </c>
      <c r="AG142" s="20">
        <v>299.83999999999997</v>
      </c>
      <c r="AH142" s="20">
        <v>101.08</v>
      </c>
      <c r="AI142" s="93">
        <v>21528.75</v>
      </c>
      <c r="AJ142" s="123">
        <v>1999.25</v>
      </c>
      <c r="AK142" s="61">
        <v>41775.96</v>
      </c>
      <c r="AL142" s="19">
        <v>5717.61</v>
      </c>
      <c r="AM142" s="19">
        <v>4552.6499999999996</v>
      </c>
      <c r="AN142" s="20">
        <v>318.83999999999997</v>
      </c>
      <c r="AO142" s="19">
        <v>4241.5200000000004</v>
      </c>
      <c r="AP142" s="20">
        <v>555.5</v>
      </c>
      <c r="AQ142" s="20">
        <v>45.44</v>
      </c>
      <c r="AR142" s="20">
        <v>20.5</v>
      </c>
      <c r="AS142" s="20">
        <v>250.33</v>
      </c>
      <c r="AT142" s="20">
        <v>37.89</v>
      </c>
      <c r="AU142" s="93">
        <v>50865.89</v>
      </c>
      <c r="AV142" s="123">
        <v>6650.34</v>
      </c>
      <c r="AW142" s="61">
        <v>7428.84</v>
      </c>
      <c r="AX142" s="20">
        <v>751.1</v>
      </c>
      <c r="AY142" s="19">
        <v>7929.37</v>
      </c>
      <c r="AZ142" s="20">
        <v>903.97</v>
      </c>
      <c r="BA142" s="20">
        <v>69.58</v>
      </c>
      <c r="BB142" s="20">
        <v>9.92</v>
      </c>
      <c r="BC142" s="20">
        <v>119.09</v>
      </c>
      <c r="BD142" s="20">
        <v>37.4</v>
      </c>
      <c r="BE142" s="93">
        <v>15546.88</v>
      </c>
      <c r="BF142" s="123">
        <v>1702.39</v>
      </c>
      <c r="BG142" s="61">
        <v>28925.06</v>
      </c>
      <c r="BH142" s="166">
        <v>1719.93</v>
      </c>
      <c r="BI142" s="150">
        <v>135441.95000000001</v>
      </c>
      <c r="BJ142" s="184">
        <v>17629.91</v>
      </c>
    </row>
    <row r="143" spans="1:62" x14ac:dyDescent="0.25">
      <c r="A143" s="288"/>
      <c r="B143" s="291"/>
      <c r="C143" s="18">
        <v>4</v>
      </c>
      <c r="D143" s="239">
        <v>136</v>
      </c>
      <c r="E143" s="61">
        <v>6569.34</v>
      </c>
      <c r="F143" s="59">
        <v>1817.07</v>
      </c>
      <c r="G143" s="18"/>
      <c r="H143" s="18"/>
      <c r="I143" s="18"/>
      <c r="J143" s="18"/>
      <c r="K143" s="60">
        <v>941.65</v>
      </c>
      <c r="L143" s="20">
        <v>289.64</v>
      </c>
      <c r="M143" s="19">
        <v>5054.68</v>
      </c>
      <c r="N143" s="19">
        <v>1783.35</v>
      </c>
      <c r="O143" s="93">
        <v>12565.66</v>
      </c>
      <c r="P143" s="123">
        <v>3890.06</v>
      </c>
      <c r="Q143" s="61">
        <v>3288.46</v>
      </c>
      <c r="R143" s="20">
        <v>799.62</v>
      </c>
      <c r="S143" s="20">
        <v>34.729999999999997</v>
      </c>
      <c r="T143" s="20">
        <v>34.17</v>
      </c>
      <c r="U143" s="20">
        <v>507.25</v>
      </c>
      <c r="V143" s="20">
        <v>125.2</v>
      </c>
      <c r="W143" s="20">
        <v>2.2000000000000002</v>
      </c>
      <c r="X143" s="20">
        <v>1.65</v>
      </c>
      <c r="Y143" s="93">
        <v>3832.64</v>
      </c>
      <c r="Z143" s="137">
        <v>960.64</v>
      </c>
      <c r="AA143" s="61">
        <v>10609.09</v>
      </c>
      <c r="AB143" s="20">
        <v>413.31</v>
      </c>
      <c r="AC143" s="19">
        <v>4101.74</v>
      </c>
      <c r="AD143" s="20">
        <v>602.58000000000004</v>
      </c>
      <c r="AE143" s="19">
        <v>2041.7</v>
      </c>
      <c r="AF143" s="20">
        <v>166.95</v>
      </c>
      <c r="AG143" s="20">
        <v>332.62</v>
      </c>
      <c r="AH143" s="20">
        <v>85.03</v>
      </c>
      <c r="AI143" s="93">
        <v>17085.14</v>
      </c>
      <c r="AJ143" s="123">
        <v>1267.8800000000001</v>
      </c>
      <c r="AK143" s="61">
        <v>37095.629999999997</v>
      </c>
      <c r="AL143" s="19">
        <v>5018.93</v>
      </c>
      <c r="AM143" s="19">
        <v>3843.73</v>
      </c>
      <c r="AN143" s="20">
        <v>276.64999999999998</v>
      </c>
      <c r="AO143" s="19">
        <v>3416.7</v>
      </c>
      <c r="AP143" s="20">
        <v>423.22</v>
      </c>
      <c r="AQ143" s="20">
        <v>70.63</v>
      </c>
      <c r="AR143" s="20">
        <v>43.06</v>
      </c>
      <c r="AS143" s="20">
        <v>142.13</v>
      </c>
      <c r="AT143" s="20">
        <v>20.079999999999998</v>
      </c>
      <c r="AU143" s="93">
        <v>44568.82</v>
      </c>
      <c r="AV143" s="123">
        <v>5781.94</v>
      </c>
      <c r="AW143" s="61">
        <v>6233.22</v>
      </c>
      <c r="AX143" s="20">
        <v>683.3</v>
      </c>
      <c r="AY143" s="19">
        <v>6575.26</v>
      </c>
      <c r="AZ143" s="20">
        <v>761.18</v>
      </c>
      <c r="BA143" s="20">
        <v>37.83</v>
      </c>
      <c r="BB143" s="20">
        <v>4.21</v>
      </c>
      <c r="BC143" s="20">
        <v>89.86</v>
      </c>
      <c r="BD143" s="20">
        <v>40.15</v>
      </c>
      <c r="BE143" s="93">
        <v>12936.16</v>
      </c>
      <c r="BF143" s="123">
        <v>1488.83</v>
      </c>
      <c r="BG143" s="61">
        <v>23162.95</v>
      </c>
      <c r="BH143" s="166">
        <v>1387.73</v>
      </c>
      <c r="BI143" s="150">
        <v>114151.38</v>
      </c>
      <c r="BJ143" s="184">
        <v>14777.07</v>
      </c>
    </row>
    <row r="144" spans="1:62" x14ac:dyDescent="0.25">
      <c r="A144" s="288"/>
      <c r="B144" s="291"/>
      <c r="C144" s="18">
        <v>5</v>
      </c>
      <c r="D144" s="239">
        <v>137</v>
      </c>
      <c r="E144" s="61">
        <v>8465.9699999999993</v>
      </c>
      <c r="F144" s="59">
        <v>2247.64</v>
      </c>
      <c r="G144" s="62"/>
      <c r="H144" s="62"/>
      <c r="I144" s="62"/>
      <c r="J144" s="62"/>
      <c r="K144" s="61">
        <v>1687.64</v>
      </c>
      <c r="L144" s="20">
        <v>520.04999999999995</v>
      </c>
      <c r="M144" s="19">
        <v>5723.45</v>
      </c>
      <c r="N144" s="19">
        <v>2063.9499999999998</v>
      </c>
      <c r="O144" s="93">
        <v>15877.05</v>
      </c>
      <c r="P144" s="123">
        <v>4831.6400000000003</v>
      </c>
      <c r="Q144" s="61">
        <v>4344.3900000000003</v>
      </c>
      <c r="R144" s="19">
        <v>1079.54</v>
      </c>
      <c r="S144" s="20">
        <v>56.62</v>
      </c>
      <c r="T144" s="20">
        <v>29.94</v>
      </c>
      <c r="U144" s="20">
        <v>583.01</v>
      </c>
      <c r="V144" s="20">
        <v>157.05000000000001</v>
      </c>
      <c r="W144" s="20">
        <v>0.4</v>
      </c>
      <c r="X144" s="20">
        <v>0.33</v>
      </c>
      <c r="Y144" s="93">
        <v>4984.42</v>
      </c>
      <c r="Z144" s="123">
        <v>1266.8499999999999</v>
      </c>
      <c r="AA144" s="61">
        <v>12963.39</v>
      </c>
      <c r="AB144" s="20">
        <v>535.23</v>
      </c>
      <c r="AC144" s="19">
        <v>4778.66</v>
      </c>
      <c r="AD144" s="20">
        <v>686.41</v>
      </c>
      <c r="AE144" s="19">
        <v>3277.47</v>
      </c>
      <c r="AF144" s="20">
        <v>241.27</v>
      </c>
      <c r="AG144" s="20">
        <v>385.22</v>
      </c>
      <c r="AH144" s="20">
        <v>84.15</v>
      </c>
      <c r="AI144" s="93">
        <v>21404.73</v>
      </c>
      <c r="AJ144" s="123">
        <v>1547.06</v>
      </c>
      <c r="AK144" s="61">
        <v>46432.44</v>
      </c>
      <c r="AL144" s="19">
        <v>6307.98</v>
      </c>
      <c r="AM144" s="19">
        <v>4724.17</v>
      </c>
      <c r="AN144" s="20">
        <v>335.53</v>
      </c>
      <c r="AO144" s="19">
        <v>4764.2700000000004</v>
      </c>
      <c r="AP144" s="20">
        <v>584.16999999999996</v>
      </c>
      <c r="AQ144" s="20">
        <v>49.05</v>
      </c>
      <c r="AR144" s="20">
        <v>30.94</v>
      </c>
      <c r="AS144" s="20">
        <v>211.52</v>
      </c>
      <c r="AT144" s="20">
        <v>33.5</v>
      </c>
      <c r="AU144" s="93">
        <v>56181.45</v>
      </c>
      <c r="AV144" s="123">
        <v>7292.12</v>
      </c>
      <c r="AW144" s="61">
        <v>7659.51</v>
      </c>
      <c r="AX144" s="20">
        <v>790.11</v>
      </c>
      <c r="AY144" s="19">
        <v>6958.43</v>
      </c>
      <c r="AZ144" s="20">
        <v>799.45</v>
      </c>
      <c r="BA144" s="20">
        <v>210.78</v>
      </c>
      <c r="BB144" s="20">
        <v>44.39</v>
      </c>
      <c r="BC144" s="20">
        <v>54.93</v>
      </c>
      <c r="BD144" s="20">
        <v>26.05</v>
      </c>
      <c r="BE144" s="93">
        <v>14883.66</v>
      </c>
      <c r="BF144" s="123">
        <v>1660</v>
      </c>
      <c r="BG144" s="61">
        <v>24926.240000000002</v>
      </c>
      <c r="BH144" s="166">
        <v>1480.44</v>
      </c>
      <c r="BI144" s="150">
        <v>138257.54999999999</v>
      </c>
      <c r="BJ144" s="184">
        <v>18078.12</v>
      </c>
    </row>
    <row r="145" spans="1:62" x14ac:dyDescent="0.25">
      <c r="A145" s="288"/>
      <c r="B145" s="291"/>
      <c r="C145" s="18">
        <v>6</v>
      </c>
      <c r="D145" s="239">
        <v>138</v>
      </c>
      <c r="E145" s="61">
        <v>9241.9699999999993</v>
      </c>
      <c r="F145" s="59">
        <v>2465.65</v>
      </c>
      <c r="G145" s="62"/>
      <c r="H145" s="62"/>
      <c r="I145" s="62"/>
      <c r="J145" s="62"/>
      <c r="K145" s="61">
        <v>1958.87</v>
      </c>
      <c r="L145" s="20">
        <v>616.42999999999995</v>
      </c>
      <c r="M145" s="19">
        <v>5549.18</v>
      </c>
      <c r="N145" s="19">
        <v>1956.93</v>
      </c>
      <c r="O145" s="93">
        <v>16750.02</v>
      </c>
      <c r="P145" s="123">
        <v>5039.01</v>
      </c>
      <c r="Q145" s="61">
        <v>3541.76</v>
      </c>
      <c r="R145" s="20">
        <v>924.96</v>
      </c>
      <c r="S145" s="20">
        <v>40.32</v>
      </c>
      <c r="T145" s="20">
        <v>41.52</v>
      </c>
      <c r="U145" s="20">
        <v>651.79</v>
      </c>
      <c r="V145" s="20">
        <v>169.75</v>
      </c>
      <c r="W145" s="20">
        <v>0.05</v>
      </c>
      <c r="X145" s="20">
        <v>0.05</v>
      </c>
      <c r="Y145" s="93">
        <v>4233.91</v>
      </c>
      <c r="Z145" s="123">
        <v>1136.28</v>
      </c>
      <c r="AA145" s="61">
        <v>11903.51</v>
      </c>
      <c r="AB145" s="20">
        <v>543.75</v>
      </c>
      <c r="AC145" s="19">
        <v>4519.1499999999996</v>
      </c>
      <c r="AD145" s="20">
        <v>703.24</v>
      </c>
      <c r="AE145" s="19">
        <v>2248.0300000000002</v>
      </c>
      <c r="AF145" s="20">
        <v>155.33000000000001</v>
      </c>
      <c r="AG145" s="20">
        <v>402.42</v>
      </c>
      <c r="AH145" s="20">
        <v>81.53</v>
      </c>
      <c r="AI145" s="93">
        <v>19073.11</v>
      </c>
      <c r="AJ145" s="123">
        <v>1483.85</v>
      </c>
      <c r="AK145" s="61">
        <v>41328.269999999997</v>
      </c>
      <c r="AL145" s="19">
        <v>5788.21</v>
      </c>
      <c r="AM145" s="19">
        <v>5129.43</v>
      </c>
      <c r="AN145" s="20">
        <v>379.26</v>
      </c>
      <c r="AO145" s="19">
        <v>5238.29</v>
      </c>
      <c r="AP145" s="20">
        <v>631.16</v>
      </c>
      <c r="AQ145" s="20">
        <v>97.39</v>
      </c>
      <c r="AR145" s="20">
        <v>70.180000000000007</v>
      </c>
      <c r="AS145" s="20">
        <v>196.06</v>
      </c>
      <c r="AT145" s="20">
        <v>27.7</v>
      </c>
      <c r="AU145" s="93">
        <v>51989.440000000002</v>
      </c>
      <c r="AV145" s="123">
        <v>6896.51</v>
      </c>
      <c r="AW145" s="61">
        <v>6830.91</v>
      </c>
      <c r="AX145" s="20">
        <v>768.78</v>
      </c>
      <c r="AY145" s="19">
        <v>6243.5</v>
      </c>
      <c r="AZ145" s="20">
        <v>771.21</v>
      </c>
      <c r="BA145" s="20">
        <v>232.26</v>
      </c>
      <c r="BB145" s="20">
        <v>44.64</v>
      </c>
      <c r="BC145" s="20">
        <v>40.31</v>
      </c>
      <c r="BD145" s="20">
        <v>19.489999999999998</v>
      </c>
      <c r="BE145" s="93">
        <v>13346.98</v>
      </c>
      <c r="BF145" s="123">
        <v>1604.11</v>
      </c>
      <c r="BG145" s="61">
        <v>24125.19</v>
      </c>
      <c r="BH145" s="166">
        <v>1444.29</v>
      </c>
      <c r="BI145" s="150">
        <v>129518.64</v>
      </c>
      <c r="BJ145" s="184">
        <v>17604.05</v>
      </c>
    </row>
    <row r="146" spans="1:62" x14ac:dyDescent="0.25">
      <c r="A146" s="288"/>
      <c r="B146" s="291"/>
      <c r="C146" s="18">
        <v>7</v>
      </c>
      <c r="D146" s="239">
        <v>139</v>
      </c>
      <c r="E146" s="61">
        <v>8119.43</v>
      </c>
      <c r="F146" s="59">
        <v>2195.62</v>
      </c>
      <c r="G146" s="62"/>
      <c r="H146" s="62"/>
      <c r="I146" s="62"/>
      <c r="J146" s="62"/>
      <c r="K146" s="61">
        <v>1931.68</v>
      </c>
      <c r="L146" s="20">
        <v>609.28</v>
      </c>
      <c r="M146" s="19">
        <v>5961.81</v>
      </c>
      <c r="N146" s="19">
        <v>2127.8000000000002</v>
      </c>
      <c r="O146" s="93">
        <v>16012.92</v>
      </c>
      <c r="P146" s="123">
        <v>4932.71</v>
      </c>
      <c r="Q146" s="61">
        <v>3210.14</v>
      </c>
      <c r="R146" s="20">
        <v>822.41</v>
      </c>
      <c r="S146" s="20">
        <v>53</v>
      </c>
      <c r="T146" s="20">
        <v>43.13</v>
      </c>
      <c r="U146" s="20">
        <v>629.64</v>
      </c>
      <c r="V146" s="20">
        <v>159.83000000000001</v>
      </c>
      <c r="W146" s="20">
        <v>0</v>
      </c>
      <c r="X146" s="20">
        <v>0</v>
      </c>
      <c r="Y146" s="93">
        <v>3892.78</v>
      </c>
      <c r="Z146" s="123">
        <v>1025.3699999999999</v>
      </c>
      <c r="AA146" s="61">
        <v>10279.459999999999</v>
      </c>
      <c r="AB146" s="20">
        <v>427.72</v>
      </c>
      <c r="AC146" s="19">
        <v>4674.7299999999996</v>
      </c>
      <c r="AD146" s="20">
        <v>699.6</v>
      </c>
      <c r="AE146" s="19">
        <v>3243.24</v>
      </c>
      <c r="AF146" s="20">
        <v>265.95999999999998</v>
      </c>
      <c r="AG146" s="20">
        <v>436.59</v>
      </c>
      <c r="AH146" s="20">
        <v>89.07</v>
      </c>
      <c r="AI146" s="93">
        <v>18634.009999999998</v>
      </c>
      <c r="AJ146" s="123">
        <v>1482.35</v>
      </c>
      <c r="AK146" s="61">
        <v>43657.120000000003</v>
      </c>
      <c r="AL146" s="19">
        <v>6283.17</v>
      </c>
      <c r="AM146" s="19">
        <v>6116.31</v>
      </c>
      <c r="AN146" s="20">
        <v>445.75</v>
      </c>
      <c r="AO146" s="19">
        <v>4577</v>
      </c>
      <c r="AP146" s="20">
        <v>543.30999999999995</v>
      </c>
      <c r="AQ146" s="20">
        <v>86.83</v>
      </c>
      <c r="AR146" s="20">
        <v>59.06</v>
      </c>
      <c r="AS146" s="20">
        <v>130.25</v>
      </c>
      <c r="AT146" s="20">
        <v>31.83</v>
      </c>
      <c r="AU146" s="93">
        <v>54567.519999999997</v>
      </c>
      <c r="AV146" s="123">
        <v>7363.12</v>
      </c>
      <c r="AW146" s="61">
        <v>6984.77</v>
      </c>
      <c r="AX146" s="20">
        <v>847.73</v>
      </c>
      <c r="AY146" s="19">
        <v>6435.19</v>
      </c>
      <c r="AZ146" s="20">
        <v>791.66</v>
      </c>
      <c r="BA146" s="20">
        <v>94.02</v>
      </c>
      <c r="BB146" s="20">
        <v>22.37</v>
      </c>
      <c r="BC146" s="20">
        <v>110</v>
      </c>
      <c r="BD146" s="20">
        <v>48.85</v>
      </c>
      <c r="BE146" s="93">
        <v>13623.98</v>
      </c>
      <c r="BF146" s="123">
        <v>1710.62</v>
      </c>
      <c r="BG146" s="61">
        <v>23216.93</v>
      </c>
      <c r="BH146" s="166">
        <v>1392.74</v>
      </c>
      <c r="BI146" s="150">
        <v>129948.13</v>
      </c>
      <c r="BJ146" s="184">
        <v>17906.900000000001</v>
      </c>
    </row>
    <row r="147" spans="1:62" x14ac:dyDescent="0.25">
      <c r="A147" s="288"/>
      <c r="B147" s="291"/>
      <c r="C147" s="18">
        <v>8</v>
      </c>
      <c r="D147" s="239">
        <v>140</v>
      </c>
      <c r="E147" s="61">
        <v>8681.23</v>
      </c>
      <c r="F147" s="59">
        <v>2446.34</v>
      </c>
      <c r="G147" s="62"/>
      <c r="H147" s="62"/>
      <c r="I147" s="62"/>
      <c r="J147" s="62"/>
      <c r="K147" s="61">
        <v>1651.43</v>
      </c>
      <c r="L147" s="20">
        <v>507.81</v>
      </c>
      <c r="M147" s="19">
        <v>6938.63</v>
      </c>
      <c r="N147" s="19">
        <v>2469.8000000000002</v>
      </c>
      <c r="O147" s="93">
        <v>17271.3</v>
      </c>
      <c r="P147" s="123">
        <v>5423.95</v>
      </c>
      <c r="Q147" s="61">
        <v>3191.8</v>
      </c>
      <c r="R147" s="20">
        <v>841.02</v>
      </c>
      <c r="S147" s="20">
        <v>18.47</v>
      </c>
      <c r="T147" s="20">
        <v>17.88</v>
      </c>
      <c r="U147" s="20">
        <v>719.84</v>
      </c>
      <c r="V147" s="20">
        <v>212.68</v>
      </c>
      <c r="W147" s="20">
        <v>1.5</v>
      </c>
      <c r="X147" s="20">
        <v>1.2</v>
      </c>
      <c r="Y147" s="93">
        <v>3931.61</v>
      </c>
      <c r="Z147" s="123">
        <v>1072.79</v>
      </c>
      <c r="AA147" s="61">
        <v>10610.24</v>
      </c>
      <c r="AB147" s="20">
        <v>453.6</v>
      </c>
      <c r="AC147" s="19">
        <v>5134.05</v>
      </c>
      <c r="AD147" s="20">
        <v>730.35</v>
      </c>
      <c r="AE147" s="19">
        <v>3663.26</v>
      </c>
      <c r="AF147" s="20">
        <v>283.75</v>
      </c>
      <c r="AG147" s="20">
        <v>332.15</v>
      </c>
      <c r="AH147" s="20">
        <v>77.69</v>
      </c>
      <c r="AI147" s="93">
        <v>19739.71</v>
      </c>
      <c r="AJ147" s="123">
        <v>1545.38</v>
      </c>
      <c r="AK147" s="61">
        <v>45927.22</v>
      </c>
      <c r="AL147" s="19">
        <v>6768.99</v>
      </c>
      <c r="AM147" s="19">
        <v>6937.42</v>
      </c>
      <c r="AN147" s="20">
        <v>515.29999999999995</v>
      </c>
      <c r="AO147" s="19">
        <v>4718.01</v>
      </c>
      <c r="AP147" s="20">
        <v>613.20000000000005</v>
      </c>
      <c r="AQ147" s="20">
        <v>112.5</v>
      </c>
      <c r="AR147" s="20">
        <v>75.959999999999994</v>
      </c>
      <c r="AS147" s="20">
        <v>135.24</v>
      </c>
      <c r="AT147" s="20">
        <v>27.04</v>
      </c>
      <c r="AU147" s="93">
        <v>57830.38</v>
      </c>
      <c r="AV147" s="123">
        <v>8000.49</v>
      </c>
      <c r="AW147" s="61">
        <v>7670.53</v>
      </c>
      <c r="AX147" s="20">
        <v>893.14</v>
      </c>
      <c r="AY147" s="19">
        <v>7018.61</v>
      </c>
      <c r="AZ147" s="20">
        <v>874.53</v>
      </c>
      <c r="BA147" s="20">
        <v>125.71</v>
      </c>
      <c r="BB147" s="20">
        <v>29.26</v>
      </c>
      <c r="BC147" s="20">
        <v>93.94</v>
      </c>
      <c r="BD147" s="20">
        <v>37.840000000000003</v>
      </c>
      <c r="BE147" s="93">
        <v>14908.79</v>
      </c>
      <c r="BF147" s="123">
        <v>1834.77</v>
      </c>
      <c r="BG147" s="61">
        <v>27194.25</v>
      </c>
      <c r="BH147" s="166">
        <v>1635.14</v>
      </c>
      <c r="BI147" s="150">
        <v>140876.04</v>
      </c>
      <c r="BJ147" s="184">
        <v>19512.52</v>
      </c>
    </row>
    <row r="148" spans="1:62" x14ac:dyDescent="0.25">
      <c r="A148" s="288"/>
      <c r="B148" s="291"/>
      <c r="C148" s="18">
        <v>9</v>
      </c>
      <c r="D148" s="239">
        <v>141</v>
      </c>
      <c r="E148" s="61">
        <v>8394.67</v>
      </c>
      <c r="F148" s="59">
        <v>2343.21</v>
      </c>
      <c r="G148" s="62"/>
      <c r="H148" s="62"/>
      <c r="I148" s="62"/>
      <c r="J148" s="62"/>
      <c r="K148" s="61">
        <v>1658.32</v>
      </c>
      <c r="L148" s="20">
        <v>529.87</v>
      </c>
      <c r="M148" s="19">
        <v>6479.27</v>
      </c>
      <c r="N148" s="19">
        <v>2382.2199999999998</v>
      </c>
      <c r="O148" s="93">
        <v>16532.259999999998</v>
      </c>
      <c r="P148" s="123">
        <v>5255.29</v>
      </c>
      <c r="Q148" s="61">
        <v>2961.71</v>
      </c>
      <c r="R148" s="20">
        <v>767.72</v>
      </c>
      <c r="S148" s="20">
        <v>43.31</v>
      </c>
      <c r="T148" s="20">
        <v>40.58</v>
      </c>
      <c r="U148" s="20">
        <v>643.84</v>
      </c>
      <c r="V148" s="20">
        <v>170.36</v>
      </c>
      <c r="W148" s="20">
        <v>0</v>
      </c>
      <c r="X148" s="20">
        <v>0</v>
      </c>
      <c r="Y148" s="93">
        <v>3648.86</v>
      </c>
      <c r="Z148" s="137">
        <v>978.65</v>
      </c>
      <c r="AA148" s="61">
        <v>10293.84</v>
      </c>
      <c r="AB148" s="20">
        <v>462.39</v>
      </c>
      <c r="AC148" s="19">
        <v>4500.38</v>
      </c>
      <c r="AD148" s="20">
        <v>693.24</v>
      </c>
      <c r="AE148" s="19">
        <v>2384.41</v>
      </c>
      <c r="AF148" s="20">
        <v>178.89</v>
      </c>
      <c r="AG148" s="20">
        <v>287.62</v>
      </c>
      <c r="AH148" s="20">
        <v>79.66</v>
      </c>
      <c r="AI148" s="93">
        <v>17466.240000000002</v>
      </c>
      <c r="AJ148" s="123">
        <v>1414.18</v>
      </c>
      <c r="AK148" s="61">
        <v>43212.79</v>
      </c>
      <c r="AL148" s="19">
        <v>6138.26</v>
      </c>
      <c r="AM148" s="19">
        <v>5338.71</v>
      </c>
      <c r="AN148" s="20">
        <v>408.19</v>
      </c>
      <c r="AO148" s="19">
        <v>3944.8</v>
      </c>
      <c r="AP148" s="20">
        <v>493.46</v>
      </c>
      <c r="AQ148" s="20">
        <v>92.48</v>
      </c>
      <c r="AR148" s="20">
        <v>63.88</v>
      </c>
      <c r="AS148" s="20">
        <v>276.76</v>
      </c>
      <c r="AT148" s="20">
        <v>33.33</v>
      </c>
      <c r="AU148" s="93">
        <v>52865.54</v>
      </c>
      <c r="AV148" s="123">
        <v>7137.12</v>
      </c>
      <c r="AW148" s="61">
        <v>7081.12</v>
      </c>
      <c r="AX148" s="20">
        <v>857.7</v>
      </c>
      <c r="AY148" s="19">
        <v>7180.46</v>
      </c>
      <c r="AZ148" s="20">
        <v>873.6</v>
      </c>
      <c r="BA148" s="20">
        <v>190.69</v>
      </c>
      <c r="BB148" s="20">
        <v>42.09</v>
      </c>
      <c r="BC148" s="20">
        <v>102.8</v>
      </c>
      <c r="BD148" s="20">
        <v>36.840000000000003</v>
      </c>
      <c r="BE148" s="93">
        <v>14555.06</v>
      </c>
      <c r="BF148" s="123">
        <v>1810.23</v>
      </c>
      <c r="BG148" s="61">
        <v>21579.96</v>
      </c>
      <c r="BH148" s="166">
        <v>1450.64</v>
      </c>
      <c r="BI148" s="150">
        <v>126647.92</v>
      </c>
      <c r="BJ148" s="184">
        <v>18046.12</v>
      </c>
    </row>
    <row r="149" spans="1:62" x14ac:dyDescent="0.25">
      <c r="A149" s="288"/>
      <c r="B149" s="291"/>
      <c r="C149" s="18">
        <v>10</v>
      </c>
      <c r="D149" s="239">
        <v>142</v>
      </c>
      <c r="E149" s="61">
        <v>8953.5300000000007</v>
      </c>
      <c r="F149" s="59">
        <v>2562.8200000000002</v>
      </c>
      <c r="G149" s="62"/>
      <c r="H149" s="62"/>
      <c r="I149" s="62"/>
      <c r="J149" s="62"/>
      <c r="K149" s="61">
        <v>1934.58</v>
      </c>
      <c r="L149" s="20">
        <v>596.94000000000005</v>
      </c>
      <c r="M149" s="19">
        <v>7617.01</v>
      </c>
      <c r="N149" s="19">
        <v>2739.05</v>
      </c>
      <c r="O149" s="93">
        <v>18505.13</v>
      </c>
      <c r="P149" s="123">
        <v>5898.81</v>
      </c>
      <c r="Q149" s="61">
        <v>3079.53</v>
      </c>
      <c r="R149" s="20">
        <v>782.43</v>
      </c>
      <c r="S149" s="20">
        <v>46.15</v>
      </c>
      <c r="T149" s="20">
        <v>25.51</v>
      </c>
      <c r="U149" s="20">
        <v>784.05</v>
      </c>
      <c r="V149" s="20">
        <v>200.32</v>
      </c>
      <c r="W149" s="20">
        <v>0</v>
      </c>
      <c r="X149" s="20">
        <v>0</v>
      </c>
      <c r="Y149" s="93">
        <v>3909.72</v>
      </c>
      <c r="Z149" s="123">
        <v>1008.25</v>
      </c>
      <c r="AA149" s="61">
        <v>9438.7999999999993</v>
      </c>
      <c r="AB149" s="20">
        <v>394.07</v>
      </c>
      <c r="AC149" s="19">
        <v>5507.06</v>
      </c>
      <c r="AD149" s="20">
        <v>723.08</v>
      </c>
      <c r="AE149" s="19">
        <v>3048.81</v>
      </c>
      <c r="AF149" s="20">
        <v>228.3</v>
      </c>
      <c r="AG149" s="20">
        <v>293.98</v>
      </c>
      <c r="AH149" s="20">
        <v>74.02</v>
      </c>
      <c r="AI149" s="93">
        <v>18288.650000000001</v>
      </c>
      <c r="AJ149" s="123">
        <v>1419.46</v>
      </c>
      <c r="AK149" s="61">
        <v>48554.14</v>
      </c>
      <c r="AL149" s="19">
        <v>6754.94</v>
      </c>
      <c r="AM149" s="19">
        <v>5927.35</v>
      </c>
      <c r="AN149" s="20">
        <v>434.75</v>
      </c>
      <c r="AO149" s="19">
        <v>6396.52</v>
      </c>
      <c r="AP149" s="20">
        <v>829.02</v>
      </c>
      <c r="AQ149" s="20">
        <v>106.55</v>
      </c>
      <c r="AR149" s="20">
        <v>82.03</v>
      </c>
      <c r="AS149" s="20">
        <v>390.86</v>
      </c>
      <c r="AT149" s="20">
        <v>51.56</v>
      </c>
      <c r="AU149" s="93">
        <v>61375.41</v>
      </c>
      <c r="AV149" s="123">
        <v>8152.3</v>
      </c>
      <c r="AW149" s="61">
        <v>8211.42</v>
      </c>
      <c r="AX149" s="20">
        <v>944.51</v>
      </c>
      <c r="AY149" s="19">
        <v>8015.52</v>
      </c>
      <c r="AZ149" s="20">
        <v>975.29</v>
      </c>
      <c r="BA149" s="20">
        <v>508.61</v>
      </c>
      <c r="BB149" s="20">
        <v>93.43</v>
      </c>
      <c r="BC149" s="20">
        <v>132.31</v>
      </c>
      <c r="BD149" s="20">
        <v>48.1</v>
      </c>
      <c r="BE149" s="93">
        <v>16867.86</v>
      </c>
      <c r="BF149" s="123">
        <v>2061.3200000000002</v>
      </c>
      <c r="BG149" s="61">
        <v>20391.48</v>
      </c>
      <c r="BH149" s="166">
        <v>1326.76</v>
      </c>
      <c r="BI149" s="150">
        <v>139338.23999999999</v>
      </c>
      <c r="BJ149" s="184">
        <v>19866.91</v>
      </c>
    </row>
    <row r="150" spans="1:62" x14ac:dyDescent="0.25">
      <c r="A150" s="288"/>
      <c r="B150" s="291"/>
      <c r="C150" s="18">
        <v>11</v>
      </c>
      <c r="D150" s="239">
        <v>143</v>
      </c>
      <c r="E150" s="61">
        <v>9717.0499999999993</v>
      </c>
      <c r="F150" s="59">
        <v>2780.01</v>
      </c>
      <c r="G150" s="62"/>
      <c r="H150" s="62"/>
      <c r="I150" s="62"/>
      <c r="J150" s="62"/>
      <c r="K150" s="61">
        <v>1876.54</v>
      </c>
      <c r="L150" s="20">
        <v>613.37</v>
      </c>
      <c r="M150" s="19">
        <v>7328.14</v>
      </c>
      <c r="N150" s="19">
        <v>2590.7399999999998</v>
      </c>
      <c r="O150" s="93">
        <v>18921.72</v>
      </c>
      <c r="P150" s="123">
        <v>5984.11</v>
      </c>
      <c r="Q150" s="61">
        <v>3470.67</v>
      </c>
      <c r="R150" s="20">
        <v>929.04</v>
      </c>
      <c r="S150" s="20">
        <v>19.36</v>
      </c>
      <c r="T150" s="20">
        <v>21.97</v>
      </c>
      <c r="U150" s="20">
        <v>711.25</v>
      </c>
      <c r="V150" s="20">
        <v>181.85</v>
      </c>
      <c r="W150" s="20">
        <v>0</v>
      </c>
      <c r="X150" s="20">
        <v>0</v>
      </c>
      <c r="Y150" s="93">
        <v>4201.28</v>
      </c>
      <c r="Z150" s="123">
        <v>1132.8699999999999</v>
      </c>
      <c r="AA150" s="61">
        <v>8448.89</v>
      </c>
      <c r="AB150" s="20">
        <v>366.99</v>
      </c>
      <c r="AC150" s="19">
        <v>4893.43</v>
      </c>
      <c r="AD150" s="20">
        <v>674.43</v>
      </c>
      <c r="AE150" s="19">
        <v>2539.5100000000002</v>
      </c>
      <c r="AF150" s="20">
        <v>177.32</v>
      </c>
      <c r="AG150" s="20">
        <v>241.48</v>
      </c>
      <c r="AH150" s="20">
        <v>71.33</v>
      </c>
      <c r="AI150" s="93">
        <v>16123.31</v>
      </c>
      <c r="AJ150" s="123">
        <v>1290.08</v>
      </c>
      <c r="AK150" s="61">
        <v>48991.55</v>
      </c>
      <c r="AL150" s="19">
        <v>7034.71</v>
      </c>
      <c r="AM150" s="19">
        <v>5517.12</v>
      </c>
      <c r="AN150" s="20">
        <v>424.38</v>
      </c>
      <c r="AO150" s="19">
        <v>5645.04</v>
      </c>
      <c r="AP150" s="20">
        <v>841.01</v>
      </c>
      <c r="AQ150" s="20">
        <v>135.58000000000001</v>
      </c>
      <c r="AR150" s="20">
        <v>73.87</v>
      </c>
      <c r="AS150" s="20">
        <v>257.45999999999998</v>
      </c>
      <c r="AT150" s="20">
        <v>31.41</v>
      </c>
      <c r="AU150" s="93">
        <v>60546.75</v>
      </c>
      <c r="AV150" s="123">
        <v>8405.3700000000008</v>
      </c>
      <c r="AW150" s="61">
        <v>7560.52</v>
      </c>
      <c r="AX150" s="20">
        <v>852.55</v>
      </c>
      <c r="AY150" s="19">
        <v>7999.44</v>
      </c>
      <c r="AZ150" s="20">
        <v>954.78</v>
      </c>
      <c r="BA150" s="20">
        <v>95.25</v>
      </c>
      <c r="BB150" s="20">
        <v>22.63</v>
      </c>
      <c r="BC150" s="20">
        <v>112.88</v>
      </c>
      <c r="BD150" s="20">
        <v>31.33</v>
      </c>
      <c r="BE150" s="93">
        <v>15768.09</v>
      </c>
      <c r="BF150" s="123">
        <v>1861.29</v>
      </c>
      <c r="BG150" s="61">
        <v>18622.82</v>
      </c>
      <c r="BH150" s="166">
        <v>1315.07</v>
      </c>
      <c r="BI150" s="150">
        <v>134183.96</v>
      </c>
      <c r="BJ150" s="184">
        <v>19988.79</v>
      </c>
    </row>
    <row r="151" spans="1:62" x14ac:dyDescent="0.25">
      <c r="A151" s="289"/>
      <c r="B151" s="292"/>
      <c r="C151" s="18">
        <v>12</v>
      </c>
      <c r="D151" s="239">
        <v>144</v>
      </c>
      <c r="E151" s="61">
        <v>9844</v>
      </c>
      <c r="F151" s="59">
        <v>2772.14</v>
      </c>
      <c r="G151" s="62"/>
      <c r="H151" s="62"/>
      <c r="I151" s="62"/>
      <c r="J151" s="62"/>
      <c r="K151" s="61">
        <v>1284.9000000000001</v>
      </c>
      <c r="L151" s="20">
        <v>403.67</v>
      </c>
      <c r="M151" s="19">
        <v>5180.0200000000004</v>
      </c>
      <c r="N151" s="19">
        <v>1783.74</v>
      </c>
      <c r="O151" s="93">
        <v>16308.92</v>
      </c>
      <c r="P151" s="123">
        <v>4959.55</v>
      </c>
      <c r="Q151" s="61">
        <v>3040.93</v>
      </c>
      <c r="R151" s="20">
        <v>794.1</v>
      </c>
      <c r="S151" s="20">
        <v>16.79</v>
      </c>
      <c r="T151" s="20">
        <v>14.86</v>
      </c>
      <c r="U151" s="20">
        <v>673.52</v>
      </c>
      <c r="V151" s="20">
        <v>161.44</v>
      </c>
      <c r="W151" s="20">
        <v>1.17</v>
      </c>
      <c r="X151" s="20">
        <v>0.9</v>
      </c>
      <c r="Y151" s="93">
        <v>3732.41</v>
      </c>
      <c r="Z151" s="137">
        <v>971.3</v>
      </c>
      <c r="AA151" s="61">
        <v>8729.2099999999991</v>
      </c>
      <c r="AB151" s="20">
        <v>390.5</v>
      </c>
      <c r="AC151" s="19">
        <v>4433.08</v>
      </c>
      <c r="AD151" s="20">
        <v>609.88</v>
      </c>
      <c r="AE151" s="19">
        <v>1924.76</v>
      </c>
      <c r="AF151" s="20">
        <v>153.46</v>
      </c>
      <c r="AG151" s="20">
        <v>245.03</v>
      </c>
      <c r="AH151" s="20">
        <v>61.53</v>
      </c>
      <c r="AI151" s="93">
        <v>15332.08</v>
      </c>
      <c r="AJ151" s="123">
        <v>1215.3699999999999</v>
      </c>
      <c r="AK151" s="61">
        <v>43062.89</v>
      </c>
      <c r="AL151" s="19">
        <v>6086.07</v>
      </c>
      <c r="AM151" s="19">
        <v>5483.27</v>
      </c>
      <c r="AN151" s="20">
        <v>436.47</v>
      </c>
      <c r="AO151" s="19">
        <v>5638.81</v>
      </c>
      <c r="AP151" s="20">
        <v>757.97</v>
      </c>
      <c r="AQ151" s="20">
        <v>78.7</v>
      </c>
      <c r="AR151" s="20">
        <v>50.98</v>
      </c>
      <c r="AS151" s="20">
        <v>565.13</v>
      </c>
      <c r="AT151" s="20">
        <v>59.45</v>
      </c>
      <c r="AU151" s="93">
        <v>54828.79</v>
      </c>
      <c r="AV151" s="123">
        <v>7390.94</v>
      </c>
      <c r="AW151" s="61">
        <v>6878.68</v>
      </c>
      <c r="AX151" s="20">
        <v>754.31</v>
      </c>
      <c r="AY151" s="19">
        <v>7839.41</v>
      </c>
      <c r="AZ151" s="20">
        <v>965.15</v>
      </c>
      <c r="BA151" s="20">
        <v>102.95</v>
      </c>
      <c r="BB151" s="20">
        <v>24.5</v>
      </c>
      <c r="BC151" s="20">
        <v>44.19</v>
      </c>
      <c r="BD151" s="20">
        <v>10.63</v>
      </c>
      <c r="BE151" s="93">
        <v>14865.22</v>
      </c>
      <c r="BF151" s="123">
        <v>1754.59</v>
      </c>
      <c r="BG151" s="61">
        <v>23456.78</v>
      </c>
      <c r="BH151" s="166">
        <v>1356.61</v>
      </c>
      <c r="BI151" s="150">
        <v>128524.19</v>
      </c>
      <c r="BJ151" s="184">
        <v>17648.37</v>
      </c>
    </row>
    <row r="152" spans="1:62" x14ac:dyDescent="0.25">
      <c r="A152" s="265">
        <v>2562</v>
      </c>
      <c r="B152" s="268">
        <v>2019</v>
      </c>
      <c r="C152" s="21">
        <v>1</v>
      </c>
      <c r="D152" s="241">
        <v>145</v>
      </c>
      <c r="E152" s="66">
        <v>7354.49</v>
      </c>
      <c r="F152" s="63">
        <v>1999.94</v>
      </c>
      <c r="G152" s="64"/>
      <c r="H152" s="64"/>
      <c r="I152" s="64"/>
      <c r="J152" s="64"/>
      <c r="K152" s="65">
        <v>783.37</v>
      </c>
      <c r="L152" s="23">
        <v>244.44</v>
      </c>
      <c r="M152" s="22">
        <v>5062.08</v>
      </c>
      <c r="N152" s="22">
        <v>1769.39</v>
      </c>
      <c r="O152" s="95">
        <v>13199.93</v>
      </c>
      <c r="P152" s="125">
        <v>4013.77</v>
      </c>
      <c r="Q152" s="66">
        <v>2767.29</v>
      </c>
      <c r="R152" s="23">
        <v>699.54</v>
      </c>
      <c r="S152" s="23">
        <v>9.57</v>
      </c>
      <c r="T152" s="23">
        <v>6.9</v>
      </c>
      <c r="U152" s="23">
        <v>717.02</v>
      </c>
      <c r="V152" s="23">
        <v>179.72</v>
      </c>
      <c r="W152" s="23">
        <v>0</v>
      </c>
      <c r="X152" s="23">
        <v>0</v>
      </c>
      <c r="Y152" s="95">
        <v>3493.88</v>
      </c>
      <c r="Z152" s="139">
        <v>886.16</v>
      </c>
      <c r="AA152" s="66">
        <v>9297.01</v>
      </c>
      <c r="AB152" s="23">
        <v>383.83</v>
      </c>
      <c r="AC152" s="22">
        <v>5223.0200000000004</v>
      </c>
      <c r="AD152" s="23">
        <v>668.34</v>
      </c>
      <c r="AE152" s="22">
        <v>2323.13</v>
      </c>
      <c r="AF152" s="23">
        <v>194.85</v>
      </c>
      <c r="AG152" s="23">
        <v>274.74</v>
      </c>
      <c r="AH152" s="23">
        <v>77.36</v>
      </c>
      <c r="AI152" s="95">
        <v>17117.900000000001</v>
      </c>
      <c r="AJ152" s="125">
        <v>1324.38</v>
      </c>
      <c r="AK152" s="66">
        <v>41455.21</v>
      </c>
      <c r="AL152" s="22">
        <v>5804.12</v>
      </c>
      <c r="AM152" s="22">
        <v>4784.63</v>
      </c>
      <c r="AN152" s="23">
        <v>399.58</v>
      </c>
      <c r="AO152" s="22">
        <v>4898.8599999999997</v>
      </c>
      <c r="AP152" s="23">
        <v>744.17</v>
      </c>
      <c r="AQ152" s="23">
        <v>61.26</v>
      </c>
      <c r="AR152" s="23">
        <v>35.630000000000003</v>
      </c>
      <c r="AS152" s="23">
        <v>538.32000000000005</v>
      </c>
      <c r="AT152" s="23">
        <v>47.58</v>
      </c>
      <c r="AU152" s="95">
        <v>51738.27</v>
      </c>
      <c r="AV152" s="125">
        <v>7031.08</v>
      </c>
      <c r="AW152" s="66">
        <v>7642.42</v>
      </c>
      <c r="AX152" s="23">
        <v>872.85</v>
      </c>
      <c r="AY152" s="22">
        <v>6448.4</v>
      </c>
      <c r="AZ152" s="23">
        <v>775.71</v>
      </c>
      <c r="BA152" s="23">
        <v>178.05</v>
      </c>
      <c r="BB152" s="23">
        <v>30.6</v>
      </c>
      <c r="BC152" s="23">
        <v>66.89</v>
      </c>
      <c r="BD152" s="23">
        <v>44.27</v>
      </c>
      <c r="BE152" s="95">
        <v>14335.75</v>
      </c>
      <c r="BF152" s="125">
        <v>1723.44</v>
      </c>
      <c r="BG152" s="66">
        <v>20554.72</v>
      </c>
      <c r="BH152" s="170">
        <v>1310.92</v>
      </c>
      <c r="BI152" s="152">
        <v>120440.45</v>
      </c>
      <c r="BJ152" s="186">
        <v>16289.75</v>
      </c>
    </row>
    <row r="153" spans="1:62" x14ac:dyDescent="0.25">
      <c r="A153" s="266"/>
      <c r="B153" s="269"/>
      <c r="C153" s="21">
        <v>2</v>
      </c>
      <c r="D153" s="241">
        <v>146</v>
      </c>
      <c r="E153" s="66">
        <v>6069.79</v>
      </c>
      <c r="F153" s="63">
        <v>1544.54</v>
      </c>
      <c r="G153" s="64"/>
      <c r="H153" s="64"/>
      <c r="I153" s="64"/>
      <c r="J153" s="64"/>
      <c r="K153" s="65">
        <v>774.16</v>
      </c>
      <c r="L153" s="23">
        <v>222.61</v>
      </c>
      <c r="M153" s="22">
        <v>5002.29</v>
      </c>
      <c r="N153" s="22">
        <v>1668.34</v>
      </c>
      <c r="O153" s="95">
        <v>11846.24</v>
      </c>
      <c r="P153" s="125">
        <v>3435.49</v>
      </c>
      <c r="Q153" s="66">
        <v>3169.93</v>
      </c>
      <c r="R153" s="23">
        <v>777.94</v>
      </c>
      <c r="S153" s="23">
        <v>7.72</v>
      </c>
      <c r="T153" s="23">
        <v>8.69</v>
      </c>
      <c r="U153" s="23">
        <v>653.11</v>
      </c>
      <c r="V153" s="23">
        <v>161.19</v>
      </c>
      <c r="W153" s="23">
        <v>0.62</v>
      </c>
      <c r="X153" s="23">
        <v>0.44</v>
      </c>
      <c r="Y153" s="95">
        <v>3831.38</v>
      </c>
      <c r="Z153" s="139">
        <v>948.26</v>
      </c>
      <c r="AA153" s="66">
        <v>8075.96</v>
      </c>
      <c r="AB153" s="23">
        <v>340.58</v>
      </c>
      <c r="AC153" s="22">
        <v>3724.35</v>
      </c>
      <c r="AD153" s="23">
        <v>496.46</v>
      </c>
      <c r="AE153" s="22">
        <v>2159.38</v>
      </c>
      <c r="AF153" s="23">
        <v>187.5</v>
      </c>
      <c r="AG153" s="23">
        <v>283.39</v>
      </c>
      <c r="AH153" s="23">
        <v>65.77</v>
      </c>
      <c r="AI153" s="95">
        <v>14243.08</v>
      </c>
      <c r="AJ153" s="125">
        <v>1090.31</v>
      </c>
      <c r="AK153" s="66">
        <v>40996.18</v>
      </c>
      <c r="AL153" s="22">
        <v>5453.03</v>
      </c>
      <c r="AM153" s="22">
        <v>3974.68</v>
      </c>
      <c r="AN153" s="23">
        <v>322.31</v>
      </c>
      <c r="AO153" s="22">
        <v>5938.79</v>
      </c>
      <c r="AP153" s="23">
        <v>799.14</v>
      </c>
      <c r="AQ153" s="23">
        <v>62.23</v>
      </c>
      <c r="AR153" s="23">
        <v>29.48</v>
      </c>
      <c r="AS153" s="23">
        <v>272.98</v>
      </c>
      <c r="AT153" s="23">
        <v>40.03</v>
      </c>
      <c r="AU153" s="95">
        <v>51244.85</v>
      </c>
      <c r="AV153" s="125">
        <v>6643.99</v>
      </c>
      <c r="AW153" s="66">
        <v>6953.16</v>
      </c>
      <c r="AX153" s="23">
        <v>781.54</v>
      </c>
      <c r="AY153" s="22">
        <v>6036.5</v>
      </c>
      <c r="AZ153" s="23">
        <v>733.74</v>
      </c>
      <c r="BA153" s="23">
        <v>37.86</v>
      </c>
      <c r="BB153" s="23">
        <v>7.14</v>
      </c>
      <c r="BC153" s="23">
        <v>47.48</v>
      </c>
      <c r="BD153" s="23">
        <v>23.39</v>
      </c>
      <c r="BE153" s="95">
        <v>13075.01</v>
      </c>
      <c r="BF153" s="125">
        <v>1545.81</v>
      </c>
      <c r="BG153" s="66">
        <v>24364.57</v>
      </c>
      <c r="BH153" s="170">
        <v>1407.27</v>
      </c>
      <c r="BI153" s="152">
        <v>118605.11</v>
      </c>
      <c r="BJ153" s="186">
        <v>15071.12</v>
      </c>
    </row>
    <row r="154" spans="1:62" x14ac:dyDescent="0.25">
      <c r="A154" s="266"/>
      <c r="B154" s="269"/>
      <c r="C154" s="21">
        <v>3</v>
      </c>
      <c r="D154" s="241">
        <v>147</v>
      </c>
      <c r="E154" s="66">
        <v>6650.63</v>
      </c>
      <c r="F154" s="63">
        <v>1649.62</v>
      </c>
      <c r="G154" s="64"/>
      <c r="H154" s="64"/>
      <c r="I154" s="64"/>
      <c r="J154" s="64"/>
      <c r="K154" s="65">
        <v>972.75</v>
      </c>
      <c r="L154" s="23">
        <v>284.91000000000003</v>
      </c>
      <c r="M154" s="22">
        <v>5646.34</v>
      </c>
      <c r="N154" s="22">
        <v>1884.72</v>
      </c>
      <c r="O154" s="95">
        <v>13269.72</v>
      </c>
      <c r="P154" s="125">
        <v>3819.24</v>
      </c>
      <c r="Q154" s="66">
        <v>3715.52</v>
      </c>
      <c r="R154" s="23">
        <v>900.61</v>
      </c>
      <c r="S154" s="23">
        <v>14.25</v>
      </c>
      <c r="T154" s="23">
        <v>14.86</v>
      </c>
      <c r="U154" s="23">
        <v>566.45000000000005</v>
      </c>
      <c r="V154" s="23">
        <v>141.88</v>
      </c>
      <c r="W154" s="23">
        <v>0.52</v>
      </c>
      <c r="X154" s="23">
        <v>0.38</v>
      </c>
      <c r="Y154" s="95">
        <v>4296.7299999999996</v>
      </c>
      <c r="Z154" s="125">
        <v>1057.73</v>
      </c>
      <c r="AA154" s="66">
        <v>10921.21</v>
      </c>
      <c r="AB154" s="23">
        <v>506.03</v>
      </c>
      <c r="AC154" s="22">
        <v>4771.1099999999997</v>
      </c>
      <c r="AD154" s="23">
        <v>640.92999999999995</v>
      </c>
      <c r="AE154" s="22">
        <v>2166.33</v>
      </c>
      <c r="AF154" s="23">
        <v>173.45</v>
      </c>
      <c r="AG154" s="23">
        <v>379.11</v>
      </c>
      <c r="AH154" s="23">
        <v>87.13</v>
      </c>
      <c r="AI154" s="95">
        <v>18237.77</v>
      </c>
      <c r="AJ154" s="125">
        <v>1407.54</v>
      </c>
      <c r="AK154" s="66">
        <v>45310.44</v>
      </c>
      <c r="AL154" s="22">
        <v>6038.05</v>
      </c>
      <c r="AM154" s="22">
        <v>4751</v>
      </c>
      <c r="AN154" s="23">
        <v>375.36</v>
      </c>
      <c r="AO154" s="22">
        <v>5999.47</v>
      </c>
      <c r="AP154" s="23">
        <v>789.63</v>
      </c>
      <c r="AQ154" s="23">
        <v>95.57</v>
      </c>
      <c r="AR154" s="23">
        <v>48.91</v>
      </c>
      <c r="AS154" s="23">
        <v>289.77999999999997</v>
      </c>
      <c r="AT154" s="23">
        <v>29.74</v>
      </c>
      <c r="AU154" s="95">
        <v>56446.25</v>
      </c>
      <c r="AV154" s="125">
        <v>7281.69</v>
      </c>
      <c r="AW154" s="66">
        <v>7178.08</v>
      </c>
      <c r="AX154" s="23">
        <v>781.55</v>
      </c>
      <c r="AY154" s="22">
        <v>6534.5</v>
      </c>
      <c r="AZ154" s="23">
        <v>793.95</v>
      </c>
      <c r="BA154" s="23">
        <v>176.14</v>
      </c>
      <c r="BB154" s="23">
        <v>36.729999999999997</v>
      </c>
      <c r="BC154" s="23">
        <v>71.260000000000005</v>
      </c>
      <c r="BD154" s="23">
        <v>33.369999999999997</v>
      </c>
      <c r="BE154" s="95">
        <v>13959.98</v>
      </c>
      <c r="BF154" s="125">
        <v>1645.61</v>
      </c>
      <c r="BG154" s="66">
        <v>30261.23</v>
      </c>
      <c r="BH154" s="170">
        <v>1591.05</v>
      </c>
      <c r="BI154" s="152">
        <v>136471.67000000001</v>
      </c>
      <c r="BJ154" s="186">
        <v>16802.86</v>
      </c>
    </row>
    <row r="155" spans="1:62" x14ac:dyDescent="0.25">
      <c r="A155" s="266"/>
      <c r="B155" s="269"/>
      <c r="C155" s="21">
        <v>4</v>
      </c>
      <c r="D155" s="241">
        <v>148</v>
      </c>
      <c r="E155" s="66">
        <v>6987.91</v>
      </c>
      <c r="F155" s="63">
        <v>1724.45</v>
      </c>
      <c r="G155" s="64"/>
      <c r="H155" s="64"/>
      <c r="I155" s="64"/>
      <c r="J155" s="64"/>
      <c r="K155" s="66">
        <v>1018.54</v>
      </c>
      <c r="L155" s="23">
        <v>303.57</v>
      </c>
      <c r="M155" s="22">
        <v>4680.72</v>
      </c>
      <c r="N155" s="22">
        <v>1586.41</v>
      </c>
      <c r="O155" s="95">
        <v>12687.17</v>
      </c>
      <c r="P155" s="125">
        <v>3614.43</v>
      </c>
      <c r="Q155" s="66">
        <v>3244.29</v>
      </c>
      <c r="R155" s="23">
        <v>768.1</v>
      </c>
      <c r="S155" s="23">
        <v>7.13</v>
      </c>
      <c r="T155" s="23">
        <v>7.52</v>
      </c>
      <c r="U155" s="23">
        <v>478.82</v>
      </c>
      <c r="V155" s="23">
        <v>127.04</v>
      </c>
      <c r="W155" s="23">
        <v>0</v>
      </c>
      <c r="X155" s="23">
        <v>0</v>
      </c>
      <c r="Y155" s="95">
        <v>3730.24</v>
      </c>
      <c r="Z155" s="139">
        <v>902.66</v>
      </c>
      <c r="AA155" s="66">
        <v>8172.76</v>
      </c>
      <c r="AB155" s="23">
        <v>338.62</v>
      </c>
      <c r="AC155" s="22">
        <v>5133.5</v>
      </c>
      <c r="AD155" s="23">
        <v>640.86</v>
      </c>
      <c r="AE155" s="22">
        <v>2015.95</v>
      </c>
      <c r="AF155" s="23">
        <v>169.11</v>
      </c>
      <c r="AG155" s="23">
        <v>326.8</v>
      </c>
      <c r="AH155" s="23">
        <v>67.459999999999994</v>
      </c>
      <c r="AI155" s="95">
        <v>15649.02</v>
      </c>
      <c r="AJ155" s="125">
        <v>1216.04</v>
      </c>
      <c r="AK155" s="66">
        <v>39111.4</v>
      </c>
      <c r="AL155" s="22">
        <v>5336.23</v>
      </c>
      <c r="AM155" s="22">
        <v>3856.85</v>
      </c>
      <c r="AN155" s="23">
        <v>330.31</v>
      </c>
      <c r="AO155" s="22">
        <v>5608.98</v>
      </c>
      <c r="AP155" s="23">
        <v>761.67</v>
      </c>
      <c r="AQ155" s="23">
        <v>56.98</v>
      </c>
      <c r="AR155" s="23">
        <v>27.34</v>
      </c>
      <c r="AS155" s="23">
        <v>177.44</v>
      </c>
      <c r="AT155" s="23">
        <v>25.41</v>
      </c>
      <c r="AU155" s="95">
        <v>48811.65</v>
      </c>
      <c r="AV155" s="125">
        <v>6480.96</v>
      </c>
      <c r="AW155" s="66">
        <v>6542.32</v>
      </c>
      <c r="AX155" s="23">
        <v>732.3</v>
      </c>
      <c r="AY155" s="22">
        <v>6229.05</v>
      </c>
      <c r="AZ155" s="23">
        <v>752.63</v>
      </c>
      <c r="BA155" s="23">
        <v>199.46</v>
      </c>
      <c r="BB155" s="23">
        <v>29.9</v>
      </c>
      <c r="BC155" s="23">
        <v>43.97</v>
      </c>
      <c r="BD155" s="23">
        <v>18.27</v>
      </c>
      <c r="BE155" s="95">
        <v>13014.79</v>
      </c>
      <c r="BF155" s="125">
        <v>1533.1</v>
      </c>
      <c r="BG155" s="66">
        <v>25843.71</v>
      </c>
      <c r="BH155" s="170">
        <v>1428.21</v>
      </c>
      <c r="BI155" s="152">
        <v>119736.58</v>
      </c>
      <c r="BJ155" s="186">
        <v>15175.4</v>
      </c>
    </row>
    <row r="156" spans="1:62" x14ac:dyDescent="0.25">
      <c r="A156" s="266"/>
      <c r="B156" s="269"/>
      <c r="C156" s="21">
        <v>5</v>
      </c>
      <c r="D156" s="241">
        <v>149</v>
      </c>
      <c r="E156" s="66">
        <v>9855.4599999999991</v>
      </c>
      <c r="F156" s="63">
        <v>2508.29</v>
      </c>
      <c r="G156" s="64"/>
      <c r="H156" s="64"/>
      <c r="I156" s="64"/>
      <c r="J156" s="64"/>
      <c r="K156" s="65">
        <v>954.78</v>
      </c>
      <c r="L156" s="23">
        <v>277.97000000000003</v>
      </c>
      <c r="M156" s="22">
        <v>5670.63</v>
      </c>
      <c r="N156" s="22">
        <v>1857.28</v>
      </c>
      <c r="O156" s="95">
        <v>16480.86</v>
      </c>
      <c r="P156" s="125">
        <v>4643.53</v>
      </c>
      <c r="Q156" s="66">
        <v>4059.93</v>
      </c>
      <c r="R156" s="23">
        <v>970.21</v>
      </c>
      <c r="S156" s="23">
        <v>12.14</v>
      </c>
      <c r="T156" s="23">
        <v>10.16</v>
      </c>
      <c r="U156" s="23">
        <v>655.95</v>
      </c>
      <c r="V156" s="23">
        <v>166.3</v>
      </c>
      <c r="W156" s="23">
        <v>0.3</v>
      </c>
      <c r="X156" s="23">
        <v>0.22</v>
      </c>
      <c r="Y156" s="95">
        <v>4728.32</v>
      </c>
      <c r="Z156" s="125">
        <v>1146.9000000000001</v>
      </c>
      <c r="AA156" s="66">
        <v>9870.94</v>
      </c>
      <c r="AB156" s="23">
        <v>419.81</v>
      </c>
      <c r="AC156" s="22">
        <v>4857.34</v>
      </c>
      <c r="AD156" s="23">
        <v>660.5</v>
      </c>
      <c r="AE156" s="22">
        <v>1441.61</v>
      </c>
      <c r="AF156" s="23">
        <v>126.33</v>
      </c>
      <c r="AG156" s="23">
        <v>344.84</v>
      </c>
      <c r="AH156" s="23">
        <v>76.599999999999994</v>
      </c>
      <c r="AI156" s="95">
        <v>16514.72</v>
      </c>
      <c r="AJ156" s="125">
        <v>1283.24</v>
      </c>
      <c r="AK156" s="66">
        <v>59407.41</v>
      </c>
      <c r="AL156" s="22">
        <v>6028.43</v>
      </c>
      <c r="AM156" s="22">
        <v>5293.55</v>
      </c>
      <c r="AN156" s="23">
        <v>439.12</v>
      </c>
      <c r="AO156" s="22">
        <v>6644.31</v>
      </c>
      <c r="AP156" s="23">
        <v>898.56</v>
      </c>
      <c r="AQ156" s="23">
        <v>54.9</v>
      </c>
      <c r="AR156" s="23">
        <v>23.67</v>
      </c>
      <c r="AS156" s="23">
        <v>344.64</v>
      </c>
      <c r="AT156" s="23">
        <v>40.409999999999997</v>
      </c>
      <c r="AU156" s="95">
        <v>71744.820000000007</v>
      </c>
      <c r="AV156" s="125">
        <v>7430.19</v>
      </c>
      <c r="AW156" s="66">
        <v>7026.46</v>
      </c>
      <c r="AX156" s="23">
        <v>805.35</v>
      </c>
      <c r="AY156" s="22">
        <v>6263.3</v>
      </c>
      <c r="AZ156" s="23">
        <v>764.74</v>
      </c>
      <c r="BA156" s="23">
        <v>106.69</v>
      </c>
      <c r="BB156" s="23">
        <v>23.46</v>
      </c>
      <c r="BC156" s="23">
        <v>36</v>
      </c>
      <c r="BD156" s="23">
        <v>15.44</v>
      </c>
      <c r="BE156" s="95">
        <v>13432.44</v>
      </c>
      <c r="BF156" s="125">
        <v>1608.99</v>
      </c>
      <c r="BG156" s="66">
        <v>28822.84</v>
      </c>
      <c r="BH156" s="170">
        <v>1549.18</v>
      </c>
      <c r="BI156" s="152">
        <v>151724</v>
      </c>
      <c r="BJ156" s="186">
        <v>17662.03</v>
      </c>
    </row>
    <row r="157" spans="1:62" x14ac:dyDescent="0.25">
      <c r="A157" s="266"/>
      <c r="B157" s="269"/>
      <c r="C157" s="21">
        <v>6</v>
      </c>
      <c r="D157" s="241">
        <v>150</v>
      </c>
      <c r="E157" s="66">
        <v>8525.2999999999993</v>
      </c>
      <c r="F157" s="63">
        <v>2291.71</v>
      </c>
      <c r="G157" s="64"/>
      <c r="H157" s="64"/>
      <c r="I157" s="64"/>
      <c r="J157" s="64"/>
      <c r="K157" s="65">
        <v>956.06</v>
      </c>
      <c r="L157" s="23">
        <v>269.69</v>
      </c>
      <c r="M157" s="22">
        <v>5244.8</v>
      </c>
      <c r="N157" s="22">
        <v>1730.58</v>
      </c>
      <c r="O157" s="95">
        <v>14726.16</v>
      </c>
      <c r="P157" s="125">
        <v>4291.9799999999996</v>
      </c>
      <c r="Q157" s="66">
        <v>3336.93</v>
      </c>
      <c r="R157" s="23">
        <v>830.57</v>
      </c>
      <c r="S157" s="23">
        <v>10.91</v>
      </c>
      <c r="T157" s="23">
        <v>12.18</v>
      </c>
      <c r="U157" s="23">
        <v>550.95000000000005</v>
      </c>
      <c r="V157" s="23">
        <v>138.69999999999999</v>
      </c>
      <c r="W157" s="23">
        <v>0.6</v>
      </c>
      <c r="X157" s="23">
        <v>0.46</v>
      </c>
      <c r="Y157" s="95">
        <v>3899.39</v>
      </c>
      <c r="Z157" s="139">
        <v>981.92</v>
      </c>
      <c r="AA157" s="66">
        <v>8674.7099999999991</v>
      </c>
      <c r="AB157" s="23">
        <v>398.05</v>
      </c>
      <c r="AC157" s="22">
        <v>4623.79</v>
      </c>
      <c r="AD157" s="23">
        <v>610.65</v>
      </c>
      <c r="AE157" s="22">
        <v>1190.57</v>
      </c>
      <c r="AF157" s="23">
        <v>113.18</v>
      </c>
      <c r="AG157" s="23">
        <v>290.19</v>
      </c>
      <c r="AH157" s="23">
        <v>86.68</v>
      </c>
      <c r="AI157" s="95">
        <v>14779.27</v>
      </c>
      <c r="AJ157" s="125">
        <v>1208.56</v>
      </c>
      <c r="AK157" s="66">
        <v>37331.47</v>
      </c>
      <c r="AL157" s="22">
        <v>5237.67</v>
      </c>
      <c r="AM157" s="22">
        <v>4649.66</v>
      </c>
      <c r="AN157" s="23">
        <v>388.33</v>
      </c>
      <c r="AO157" s="22">
        <v>5314.43</v>
      </c>
      <c r="AP157" s="23">
        <v>760.47</v>
      </c>
      <c r="AQ157" s="23">
        <v>73.12</v>
      </c>
      <c r="AR157" s="23">
        <v>37.68</v>
      </c>
      <c r="AS157" s="23">
        <v>395.63</v>
      </c>
      <c r="AT157" s="23">
        <v>55.85</v>
      </c>
      <c r="AU157" s="95">
        <v>47764.3</v>
      </c>
      <c r="AV157" s="125">
        <v>6480</v>
      </c>
      <c r="AW157" s="66">
        <v>6960.16</v>
      </c>
      <c r="AX157" s="23">
        <v>760.67</v>
      </c>
      <c r="AY157" s="22">
        <v>6218.64</v>
      </c>
      <c r="AZ157" s="23">
        <v>774.83</v>
      </c>
      <c r="BA157" s="23">
        <v>117.86</v>
      </c>
      <c r="BB157" s="23">
        <v>26.02</v>
      </c>
      <c r="BC157" s="23">
        <v>63.15</v>
      </c>
      <c r="BD157" s="23">
        <v>33.58</v>
      </c>
      <c r="BE157" s="95">
        <v>13359.8</v>
      </c>
      <c r="BF157" s="125">
        <v>1595.1</v>
      </c>
      <c r="BG157" s="66">
        <v>27439.98</v>
      </c>
      <c r="BH157" s="170">
        <v>1523.36</v>
      </c>
      <c r="BI157" s="152">
        <v>121968.89</v>
      </c>
      <c r="BJ157" s="186">
        <v>16080.92</v>
      </c>
    </row>
    <row r="158" spans="1:62" x14ac:dyDescent="0.25">
      <c r="A158" s="266"/>
      <c r="B158" s="269"/>
      <c r="C158" s="21">
        <v>7</v>
      </c>
      <c r="D158" s="241">
        <v>151</v>
      </c>
      <c r="E158" s="66">
        <v>9491.41</v>
      </c>
      <c r="F158" s="63">
        <v>2641.1</v>
      </c>
      <c r="G158" s="64"/>
      <c r="H158" s="64"/>
      <c r="I158" s="64"/>
      <c r="J158" s="64"/>
      <c r="K158" s="65">
        <v>719.35</v>
      </c>
      <c r="L158" s="23">
        <v>204.22</v>
      </c>
      <c r="M158" s="22">
        <v>5574.56</v>
      </c>
      <c r="N158" s="22">
        <v>1830.1</v>
      </c>
      <c r="O158" s="95">
        <v>15785.33</v>
      </c>
      <c r="P158" s="125">
        <v>4675.42</v>
      </c>
      <c r="Q158" s="66">
        <v>3117.59</v>
      </c>
      <c r="R158" s="23">
        <v>772.71</v>
      </c>
      <c r="S158" s="23">
        <v>9.83</v>
      </c>
      <c r="T158" s="23">
        <v>10.53</v>
      </c>
      <c r="U158" s="23">
        <v>610.99</v>
      </c>
      <c r="V158" s="23">
        <v>149.91999999999999</v>
      </c>
      <c r="W158" s="23">
        <v>0.15</v>
      </c>
      <c r="X158" s="23">
        <v>0.11</v>
      </c>
      <c r="Y158" s="95">
        <v>3738.56</v>
      </c>
      <c r="Z158" s="139">
        <v>933.26</v>
      </c>
      <c r="AA158" s="66">
        <v>8311</v>
      </c>
      <c r="AB158" s="23">
        <v>365.42</v>
      </c>
      <c r="AC158" s="22">
        <v>4202.3500000000004</v>
      </c>
      <c r="AD158" s="23">
        <v>601.1</v>
      </c>
      <c r="AE158" s="22">
        <v>2199.0500000000002</v>
      </c>
      <c r="AF158" s="23">
        <v>208.52</v>
      </c>
      <c r="AG158" s="23">
        <v>321.69</v>
      </c>
      <c r="AH158" s="23">
        <v>94.49</v>
      </c>
      <c r="AI158" s="95">
        <v>15034.08</v>
      </c>
      <c r="AJ158" s="125">
        <v>1269.52</v>
      </c>
      <c r="AK158" s="66">
        <v>38829.33</v>
      </c>
      <c r="AL158" s="22">
        <v>5172.75</v>
      </c>
      <c r="AM158" s="22">
        <v>6497.6</v>
      </c>
      <c r="AN158" s="23">
        <v>498.46</v>
      </c>
      <c r="AO158" s="22">
        <v>5207.28</v>
      </c>
      <c r="AP158" s="23">
        <v>732.7</v>
      </c>
      <c r="AQ158" s="23">
        <v>65.599999999999994</v>
      </c>
      <c r="AR158" s="23">
        <v>38.22</v>
      </c>
      <c r="AS158" s="23">
        <v>461.5</v>
      </c>
      <c r="AT158" s="23">
        <v>43.46</v>
      </c>
      <c r="AU158" s="95">
        <v>51061.31</v>
      </c>
      <c r="AV158" s="125">
        <v>6485.59</v>
      </c>
      <c r="AW158" s="66">
        <v>7207.47</v>
      </c>
      <c r="AX158" s="23">
        <v>794.9</v>
      </c>
      <c r="AY158" s="22">
        <v>7303.67</v>
      </c>
      <c r="AZ158" s="23">
        <v>844.41</v>
      </c>
      <c r="BA158" s="23">
        <v>119.27</v>
      </c>
      <c r="BB158" s="23">
        <v>27.49</v>
      </c>
      <c r="BC158" s="23">
        <v>77.239999999999995</v>
      </c>
      <c r="BD158" s="23">
        <v>35.119999999999997</v>
      </c>
      <c r="BE158" s="95">
        <v>14707.64</v>
      </c>
      <c r="BF158" s="125">
        <v>1701.92</v>
      </c>
      <c r="BG158" s="66">
        <v>28101.119999999999</v>
      </c>
      <c r="BH158" s="170">
        <v>1542</v>
      </c>
      <c r="BI158" s="152">
        <v>128428.02</v>
      </c>
      <c r="BJ158" s="186">
        <v>16607.72</v>
      </c>
    </row>
    <row r="159" spans="1:62" x14ac:dyDescent="0.25">
      <c r="A159" s="266"/>
      <c r="B159" s="269"/>
      <c r="C159" s="21">
        <v>8</v>
      </c>
      <c r="D159" s="241">
        <v>152</v>
      </c>
      <c r="E159" s="66">
        <v>8540.32</v>
      </c>
      <c r="F159" s="63">
        <v>2372.44</v>
      </c>
      <c r="G159" s="64"/>
      <c r="H159" s="64"/>
      <c r="I159" s="64"/>
      <c r="J159" s="64"/>
      <c r="K159" s="66">
        <v>1127.3900000000001</v>
      </c>
      <c r="L159" s="23">
        <v>318.95</v>
      </c>
      <c r="M159" s="22">
        <v>5820.54</v>
      </c>
      <c r="N159" s="22">
        <v>1912.14</v>
      </c>
      <c r="O159" s="95">
        <v>15488.25</v>
      </c>
      <c r="P159" s="125">
        <v>4603.53</v>
      </c>
      <c r="Q159" s="66">
        <v>3114.89</v>
      </c>
      <c r="R159" s="23">
        <v>787.79</v>
      </c>
      <c r="S159" s="23">
        <v>9.7100000000000009</v>
      </c>
      <c r="T159" s="23">
        <v>8.4</v>
      </c>
      <c r="U159" s="23">
        <v>624.1</v>
      </c>
      <c r="V159" s="23">
        <v>160.02000000000001</v>
      </c>
      <c r="W159" s="23">
        <v>1.05</v>
      </c>
      <c r="X159" s="23">
        <v>0.78</v>
      </c>
      <c r="Y159" s="95">
        <v>3749.74</v>
      </c>
      <c r="Z159" s="139">
        <v>956.99</v>
      </c>
      <c r="AA159" s="66">
        <v>8059.22</v>
      </c>
      <c r="AB159" s="23">
        <v>389.18</v>
      </c>
      <c r="AC159" s="22">
        <v>4509.1499999999996</v>
      </c>
      <c r="AD159" s="23">
        <v>685.72</v>
      </c>
      <c r="AE159" s="22">
        <v>1815.91</v>
      </c>
      <c r="AF159" s="23">
        <v>182.24</v>
      </c>
      <c r="AG159" s="23">
        <v>231.63</v>
      </c>
      <c r="AH159" s="23">
        <v>84.47</v>
      </c>
      <c r="AI159" s="95">
        <v>14615.91</v>
      </c>
      <c r="AJ159" s="125">
        <v>1341.6</v>
      </c>
      <c r="AK159" s="66">
        <v>41980.03</v>
      </c>
      <c r="AL159" s="22">
        <v>5308.16</v>
      </c>
      <c r="AM159" s="22">
        <v>6913.95</v>
      </c>
      <c r="AN159" s="23">
        <v>493.58</v>
      </c>
      <c r="AO159" s="22">
        <v>4268.03</v>
      </c>
      <c r="AP159" s="23">
        <v>602.82000000000005</v>
      </c>
      <c r="AQ159" s="23">
        <v>57</v>
      </c>
      <c r="AR159" s="23">
        <v>26.99</v>
      </c>
      <c r="AS159" s="23">
        <v>433.83</v>
      </c>
      <c r="AT159" s="23">
        <v>51.84</v>
      </c>
      <c r="AU159" s="95">
        <v>53652.84</v>
      </c>
      <c r="AV159" s="125">
        <v>6483.39</v>
      </c>
      <c r="AW159" s="66">
        <v>7308.05</v>
      </c>
      <c r="AX159" s="23">
        <v>802.67</v>
      </c>
      <c r="AY159" s="22">
        <v>7492.06</v>
      </c>
      <c r="AZ159" s="23">
        <v>868.68</v>
      </c>
      <c r="BA159" s="23">
        <v>106.4</v>
      </c>
      <c r="BB159" s="23">
        <v>26.05</v>
      </c>
      <c r="BC159" s="23">
        <v>72.63</v>
      </c>
      <c r="BD159" s="23">
        <v>30.42</v>
      </c>
      <c r="BE159" s="95">
        <v>14979.13</v>
      </c>
      <c r="BF159" s="125">
        <v>1727.83</v>
      </c>
      <c r="BG159" s="66">
        <v>23779.48</v>
      </c>
      <c r="BH159" s="170">
        <v>1357.79</v>
      </c>
      <c r="BI159" s="152">
        <v>126265.34</v>
      </c>
      <c r="BJ159" s="186">
        <v>16471.13</v>
      </c>
    </row>
    <row r="160" spans="1:62" x14ac:dyDescent="0.25">
      <c r="A160" s="266"/>
      <c r="B160" s="269"/>
      <c r="C160" s="21">
        <v>9</v>
      </c>
      <c r="D160" s="241">
        <v>153</v>
      </c>
      <c r="E160" s="66">
        <v>8309.82</v>
      </c>
      <c r="F160" s="63">
        <v>2245.85</v>
      </c>
      <c r="G160" s="21"/>
      <c r="H160" s="21"/>
      <c r="I160" s="21"/>
      <c r="J160" s="21"/>
      <c r="K160" s="66">
        <v>1315.09</v>
      </c>
      <c r="L160" s="23">
        <v>362.01</v>
      </c>
      <c r="M160" s="22">
        <v>6493.89</v>
      </c>
      <c r="N160" s="22">
        <v>2147.29</v>
      </c>
      <c r="O160" s="95">
        <v>16118.8</v>
      </c>
      <c r="P160" s="125">
        <v>4755.1499999999996</v>
      </c>
      <c r="Q160" s="66">
        <v>2670.78</v>
      </c>
      <c r="R160" s="23">
        <v>629.66</v>
      </c>
      <c r="S160" s="23">
        <v>13.51</v>
      </c>
      <c r="T160" s="23">
        <v>11.96</v>
      </c>
      <c r="U160" s="23">
        <v>610.62</v>
      </c>
      <c r="V160" s="23">
        <v>161.62</v>
      </c>
      <c r="W160" s="23">
        <v>0.5</v>
      </c>
      <c r="X160" s="23">
        <v>0.36</v>
      </c>
      <c r="Y160" s="95">
        <v>3295.4</v>
      </c>
      <c r="Z160" s="139">
        <v>803.59</v>
      </c>
      <c r="AA160" s="66">
        <v>8233.5300000000007</v>
      </c>
      <c r="AB160" s="23">
        <v>372.52</v>
      </c>
      <c r="AC160" s="22">
        <v>4356.8500000000004</v>
      </c>
      <c r="AD160" s="23">
        <v>665.56</v>
      </c>
      <c r="AE160" s="22">
        <v>1207.9100000000001</v>
      </c>
      <c r="AF160" s="23">
        <v>106.18</v>
      </c>
      <c r="AG160" s="23">
        <v>240.11</v>
      </c>
      <c r="AH160" s="23">
        <v>79.12</v>
      </c>
      <c r="AI160" s="95">
        <v>14038.4</v>
      </c>
      <c r="AJ160" s="125">
        <v>1223.3900000000001</v>
      </c>
      <c r="AK160" s="66">
        <v>47076.24</v>
      </c>
      <c r="AL160" s="22">
        <v>5930.78</v>
      </c>
      <c r="AM160" s="22">
        <v>5188.8100000000004</v>
      </c>
      <c r="AN160" s="23">
        <v>367.62</v>
      </c>
      <c r="AO160" s="22">
        <v>4470.59</v>
      </c>
      <c r="AP160" s="23">
        <v>665.06</v>
      </c>
      <c r="AQ160" s="23">
        <v>82.29</v>
      </c>
      <c r="AR160" s="23">
        <v>46.4</v>
      </c>
      <c r="AS160" s="23">
        <v>260.54000000000002</v>
      </c>
      <c r="AT160" s="23">
        <v>33.549999999999997</v>
      </c>
      <c r="AU160" s="95">
        <v>57078.46</v>
      </c>
      <c r="AV160" s="125">
        <v>7043.41</v>
      </c>
      <c r="AW160" s="66">
        <v>7417.35</v>
      </c>
      <c r="AX160" s="23">
        <v>844.1</v>
      </c>
      <c r="AY160" s="22">
        <v>7955.48</v>
      </c>
      <c r="AZ160" s="23">
        <v>935.72</v>
      </c>
      <c r="BA160" s="23">
        <v>732.67</v>
      </c>
      <c r="BB160" s="23">
        <v>89.82</v>
      </c>
      <c r="BC160" s="23">
        <v>101.55</v>
      </c>
      <c r="BD160" s="23">
        <v>38.43</v>
      </c>
      <c r="BE160" s="95">
        <v>16207.06</v>
      </c>
      <c r="BF160" s="125">
        <v>1908.07</v>
      </c>
      <c r="BG160" s="66">
        <v>19608.939999999999</v>
      </c>
      <c r="BH160" s="170">
        <v>1229.79</v>
      </c>
      <c r="BI160" s="152">
        <v>126347.06</v>
      </c>
      <c r="BJ160" s="186">
        <v>16963.400000000001</v>
      </c>
    </row>
    <row r="161" spans="1:62" x14ac:dyDescent="0.25">
      <c r="A161" s="266"/>
      <c r="B161" s="269"/>
      <c r="C161" s="21">
        <v>10</v>
      </c>
      <c r="D161" s="241">
        <v>154</v>
      </c>
      <c r="E161" s="66">
        <v>9922.2999999999993</v>
      </c>
      <c r="F161" s="63">
        <v>2593.21</v>
      </c>
      <c r="G161" s="21"/>
      <c r="H161" s="21"/>
      <c r="I161" s="21"/>
      <c r="J161" s="21"/>
      <c r="K161" s="66">
        <v>1841.68</v>
      </c>
      <c r="L161" s="23">
        <v>461.91</v>
      </c>
      <c r="M161" s="22">
        <v>7204.16</v>
      </c>
      <c r="N161" s="22">
        <v>2373.56</v>
      </c>
      <c r="O161" s="95">
        <v>18968.13</v>
      </c>
      <c r="P161" s="125">
        <v>5428.68</v>
      </c>
      <c r="Q161" s="66">
        <v>3646.9</v>
      </c>
      <c r="R161" s="23">
        <v>789.35</v>
      </c>
      <c r="S161" s="23">
        <v>19.63</v>
      </c>
      <c r="T161" s="23">
        <v>16.62</v>
      </c>
      <c r="U161" s="23">
        <v>576.14</v>
      </c>
      <c r="V161" s="23">
        <v>155.85</v>
      </c>
      <c r="W161" s="23">
        <v>0.3</v>
      </c>
      <c r="X161" s="23">
        <v>0.22</v>
      </c>
      <c r="Y161" s="95">
        <v>4242.96</v>
      </c>
      <c r="Z161" s="139">
        <v>962.04</v>
      </c>
      <c r="AA161" s="66">
        <v>11328.89</v>
      </c>
      <c r="AB161" s="23">
        <v>497.05</v>
      </c>
      <c r="AC161" s="22">
        <v>5462.41</v>
      </c>
      <c r="AD161" s="23">
        <v>771.7</v>
      </c>
      <c r="AE161" s="22">
        <v>2666.71</v>
      </c>
      <c r="AF161" s="23">
        <v>221.4</v>
      </c>
      <c r="AG161" s="23">
        <v>298.2</v>
      </c>
      <c r="AH161" s="23">
        <v>80.900000000000006</v>
      </c>
      <c r="AI161" s="95">
        <v>19756.2</v>
      </c>
      <c r="AJ161" s="125">
        <v>1571.05</v>
      </c>
      <c r="AK161" s="66">
        <v>50932.89</v>
      </c>
      <c r="AL161" s="22">
        <v>6270.82</v>
      </c>
      <c r="AM161" s="22">
        <v>5046.6899999999996</v>
      </c>
      <c r="AN161" s="23">
        <v>388.53</v>
      </c>
      <c r="AO161" s="22">
        <v>4748.9799999999996</v>
      </c>
      <c r="AP161" s="23">
        <v>638.16</v>
      </c>
      <c r="AQ161" s="23">
        <v>53.91</v>
      </c>
      <c r="AR161" s="23">
        <v>23.04</v>
      </c>
      <c r="AS161" s="23">
        <v>429.61</v>
      </c>
      <c r="AT161" s="23">
        <v>53.81</v>
      </c>
      <c r="AU161" s="95">
        <v>61212.07</v>
      </c>
      <c r="AV161" s="125">
        <v>7374.37</v>
      </c>
      <c r="AW161" s="66">
        <v>7836.69</v>
      </c>
      <c r="AX161" s="23">
        <v>918.01</v>
      </c>
      <c r="AY161" s="22">
        <v>7878.65</v>
      </c>
      <c r="AZ161" s="23">
        <v>936.57</v>
      </c>
      <c r="BA161" s="22">
        <v>1061.3699999999999</v>
      </c>
      <c r="BB161" s="23">
        <v>135.81</v>
      </c>
      <c r="BC161" s="23">
        <v>79.58</v>
      </c>
      <c r="BD161" s="23">
        <v>33.450000000000003</v>
      </c>
      <c r="BE161" s="95">
        <v>16856.3</v>
      </c>
      <c r="BF161" s="125">
        <v>2023.84</v>
      </c>
      <c r="BG161" s="66">
        <v>21082.240000000002</v>
      </c>
      <c r="BH161" s="170">
        <v>1235.76</v>
      </c>
      <c r="BI161" s="152">
        <v>142117.9</v>
      </c>
      <c r="BJ161" s="186">
        <v>18595.740000000002</v>
      </c>
    </row>
    <row r="162" spans="1:62" x14ac:dyDescent="0.25">
      <c r="A162" s="266"/>
      <c r="B162" s="269"/>
      <c r="C162" s="21">
        <v>11</v>
      </c>
      <c r="D162" s="241">
        <v>155</v>
      </c>
      <c r="E162" s="66">
        <v>10019.57</v>
      </c>
      <c r="F162" s="63">
        <v>2593.17</v>
      </c>
      <c r="G162" s="21"/>
      <c r="H162" s="21"/>
      <c r="I162" s="21"/>
      <c r="J162" s="21"/>
      <c r="K162" s="66">
        <v>1326.65</v>
      </c>
      <c r="L162" s="23">
        <v>366.15</v>
      </c>
      <c r="M162" s="22">
        <v>6568.02</v>
      </c>
      <c r="N162" s="22">
        <v>2117.0300000000002</v>
      </c>
      <c r="O162" s="95">
        <v>17914.240000000002</v>
      </c>
      <c r="P162" s="125">
        <v>5076.3500000000004</v>
      </c>
      <c r="Q162" s="66">
        <v>4002.57</v>
      </c>
      <c r="R162" s="23">
        <v>773.88</v>
      </c>
      <c r="S162" s="23">
        <v>94.91</v>
      </c>
      <c r="T162" s="23">
        <v>20.05</v>
      </c>
      <c r="U162" s="23">
        <v>634.46</v>
      </c>
      <c r="V162" s="23">
        <v>177.04</v>
      </c>
      <c r="W162" s="23">
        <v>0.6</v>
      </c>
      <c r="X162" s="23">
        <v>0.5</v>
      </c>
      <c r="Y162" s="95">
        <v>4732.54</v>
      </c>
      <c r="Z162" s="139">
        <v>971.47</v>
      </c>
      <c r="AA162" s="66">
        <v>10197.35</v>
      </c>
      <c r="AB162" s="23">
        <v>420.36</v>
      </c>
      <c r="AC162" s="22">
        <v>5026.13</v>
      </c>
      <c r="AD162" s="23">
        <v>713.08</v>
      </c>
      <c r="AE162" s="22">
        <v>2600.5500000000002</v>
      </c>
      <c r="AF162" s="23">
        <v>213.49</v>
      </c>
      <c r="AG162" s="23">
        <v>263.47000000000003</v>
      </c>
      <c r="AH162" s="23">
        <v>75.42</v>
      </c>
      <c r="AI162" s="95">
        <v>18087.5</v>
      </c>
      <c r="AJ162" s="125">
        <v>1422.35</v>
      </c>
      <c r="AK162" s="66">
        <v>46134.66</v>
      </c>
      <c r="AL162" s="22">
        <v>5716.72</v>
      </c>
      <c r="AM162" s="22">
        <v>4632.08</v>
      </c>
      <c r="AN162" s="23">
        <v>355.9</v>
      </c>
      <c r="AO162" s="22">
        <v>4573.43</v>
      </c>
      <c r="AP162" s="23">
        <v>591.12</v>
      </c>
      <c r="AQ162" s="23">
        <v>84.26</v>
      </c>
      <c r="AR162" s="23">
        <v>41.12</v>
      </c>
      <c r="AS162" s="23">
        <v>663.27</v>
      </c>
      <c r="AT162" s="23">
        <v>71.37</v>
      </c>
      <c r="AU162" s="95">
        <v>56087.7</v>
      </c>
      <c r="AV162" s="125">
        <v>6776.23</v>
      </c>
      <c r="AW162" s="66">
        <v>6798.08</v>
      </c>
      <c r="AX162" s="23">
        <v>732.21</v>
      </c>
      <c r="AY162" s="22">
        <v>7513.96</v>
      </c>
      <c r="AZ162" s="23">
        <v>901.82</v>
      </c>
      <c r="BA162" s="23">
        <v>68.48</v>
      </c>
      <c r="BB162" s="23">
        <v>15.2</v>
      </c>
      <c r="BC162" s="23">
        <v>102.59</v>
      </c>
      <c r="BD162" s="23">
        <v>26.51</v>
      </c>
      <c r="BE162" s="95">
        <v>14483.11</v>
      </c>
      <c r="BF162" s="125">
        <v>1675.74</v>
      </c>
      <c r="BG162" s="66">
        <v>21096.92</v>
      </c>
      <c r="BH162" s="170">
        <v>1240.08</v>
      </c>
      <c r="BI162" s="152">
        <v>132402.01</v>
      </c>
      <c r="BJ162" s="186">
        <v>17162.22</v>
      </c>
    </row>
    <row r="163" spans="1:62" x14ac:dyDescent="0.25">
      <c r="A163" s="267"/>
      <c r="B163" s="270"/>
      <c r="C163" s="21">
        <v>12</v>
      </c>
      <c r="D163" s="241">
        <v>156</v>
      </c>
      <c r="E163" s="66">
        <v>8448.16</v>
      </c>
      <c r="F163" s="63">
        <v>2091.08</v>
      </c>
      <c r="G163" s="21"/>
      <c r="H163" s="21"/>
      <c r="I163" s="21"/>
      <c r="J163" s="21"/>
      <c r="K163" s="66">
        <v>1228.98</v>
      </c>
      <c r="L163" s="23">
        <v>315.69</v>
      </c>
      <c r="M163" s="22">
        <v>4521.3500000000004</v>
      </c>
      <c r="N163" s="22">
        <v>1435.41</v>
      </c>
      <c r="O163" s="95">
        <v>14198.49</v>
      </c>
      <c r="P163" s="125">
        <v>3842.18</v>
      </c>
      <c r="Q163" s="66">
        <v>3665.55</v>
      </c>
      <c r="R163" s="23">
        <v>669.68</v>
      </c>
      <c r="S163" s="23">
        <v>62.65</v>
      </c>
      <c r="T163" s="23">
        <v>13.23</v>
      </c>
      <c r="U163" s="23">
        <v>752.74</v>
      </c>
      <c r="V163" s="23">
        <v>189.03</v>
      </c>
      <c r="W163" s="23">
        <v>0.3</v>
      </c>
      <c r="X163" s="23">
        <v>0.24</v>
      </c>
      <c r="Y163" s="95">
        <v>4481.24</v>
      </c>
      <c r="Z163" s="139">
        <v>872.18</v>
      </c>
      <c r="AA163" s="66">
        <v>11682.71</v>
      </c>
      <c r="AB163" s="23">
        <v>497.52</v>
      </c>
      <c r="AC163" s="22">
        <v>4258.8599999999997</v>
      </c>
      <c r="AD163" s="23">
        <v>586.29</v>
      </c>
      <c r="AE163" s="22">
        <v>1771.08</v>
      </c>
      <c r="AF163" s="23">
        <v>164.78</v>
      </c>
      <c r="AG163" s="23">
        <v>245.65</v>
      </c>
      <c r="AH163" s="23">
        <v>68.27</v>
      </c>
      <c r="AI163" s="95">
        <v>17958.29</v>
      </c>
      <c r="AJ163" s="125">
        <v>1316.86</v>
      </c>
      <c r="AK163" s="66">
        <v>41321.919999999998</v>
      </c>
      <c r="AL163" s="22">
        <v>4900.1899999999996</v>
      </c>
      <c r="AM163" s="22">
        <v>4233.8599999999997</v>
      </c>
      <c r="AN163" s="23">
        <v>298.66000000000003</v>
      </c>
      <c r="AO163" s="22">
        <v>3445.68</v>
      </c>
      <c r="AP163" s="23">
        <v>484.98</v>
      </c>
      <c r="AQ163" s="23">
        <v>77.58</v>
      </c>
      <c r="AR163" s="23">
        <v>36.76</v>
      </c>
      <c r="AS163" s="23">
        <v>296.14999999999998</v>
      </c>
      <c r="AT163" s="23">
        <v>45.22</v>
      </c>
      <c r="AU163" s="95">
        <v>49375.19</v>
      </c>
      <c r="AV163" s="125">
        <v>5765.81</v>
      </c>
      <c r="AW163" s="66">
        <v>6340.53</v>
      </c>
      <c r="AX163" s="23">
        <v>702.74</v>
      </c>
      <c r="AY163" s="22">
        <v>7844.76</v>
      </c>
      <c r="AZ163" s="23">
        <v>941.6</v>
      </c>
      <c r="BA163" s="23">
        <v>88.98</v>
      </c>
      <c r="BB163" s="23">
        <v>20.64</v>
      </c>
      <c r="BC163" s="23">
        <v>53.74</v>
      </c>
      <c r="BD163" s="23">
        <v>15.01</v>
      </c>
      <c r="BE163" s="95">
        <v>14328.02</v>
      </c>
      <c r="BF163" s="125">
        <v>1679.98</v>
      </c>
      <c r="BG163" s="66">
        <v>21302.07</v>
      </c>
      <c r="BH163" s="170">
        <v>1223.8699999999999</v>
      </c>
      <c r="BI163" s="152">
        <v>121643.29</v>
      </c>
      <c r="BJ163" s="186">
        <v>14700.88</v>
      </c>
    </row>
    <row r="164" spans="1:62" x14ac:dyDescent="0.25">
      <c r="A164" s="271">
        <v>2563</v>
      </c>
      <c r="B164" s="274">
        <v>2020</v>
      </c>
      <c r="C164" s="30">
        <v>1</v>
      </c>
      <c r="D164" s="242">
        <v>157</v>
      </c>
      <c r="E164" s="69">
        <v>6837.73</v>
      </c>
      <c r="F164" s="67">
        <v>1480.37</v>
      </c>
      <c r="G164" s="30"/>
      <c r="H164" s="30"/>
      <c r="I164" s="30"/>
      <c r="J164" s="30"/>
      <c r="K164" s="34">
        <v>454.58</v>
      </c>
      <c r="L164" s="35">
        <v>121.82</v>
      </c>
      <c r="M164" s="36">
        <v>3946.24</v>
      </c>
      <c r="N164" s="36">
        <v>1279.93</v>
      </c>
      <c r="O164" s="96">
        <v>11238.55</v>
      </c>
      <c r="P164" s="126">
        <v>2882.12</v>
      </c>
      <c r="Q164" s="69">
        <v>2881.01</v>
      </c>
      <c r="R164" s="35">
        <v>621.47</v>
      </c>
      <c r="S164" s="35">
        <v>61.85</v>
      </c>
      <c r="T164" s="35">
        <v>13.17</v>
      </c>
      <c r="U164" s="35">
        <v>513.1</v>
      </c>
      <c r="V164" s="35">
        <v>136.63999999999999</v>
      </c>
      <c r="W164" s="35">
        <v>0</v>
      </c>
      <c r="X164" s="35">
        <v>0</v>
      </c>
      <c r="Y164" s="96">
        <v>3455.95</v>
      </c>
      <c r="Z164" s="127">
        <v>771.28</v>
      </c>
      <c r="AA164" s="69">
        <v>9982.5300000000007</v>
      </c>
      <c r="AB164" s="35">
        <v>345.79</v>
      </c>
      <c r="AC164" s="36">
        <v>4844.07</v>
      </c>
      <c r="AD164" s="35">
        <v>612.04</v>
      </c>
      <c r="AE164" s="36">
        <v>1996.11</v>
      </c>
      <c r="AF164" s="35">
        <v>163.47</v>
      </c>
      <c r="AG164" s="35">
        <v>241.19</v>
      </c>
      <c r="AH164" s="35">
        <v>71.349999999999994</v>
      </c>
      <c r="AI164" s="96">
        <v>17063.91</v>
      </c>
      <c r="AJ164" s="126">
        <v>1192.6500000000001</v>
      </c>
      <c r="AK164" s="69">
        <v>38802.550000000003</v>
      </c>
      <c r="AL164" s="36">
        <v>4606.42</v>
      </c>
      <c r="AM164" s="36">
        <v>5292.95</v>
      </c>
      <c r="AN164" s="35">
        <v>379.99</v>
      </c>
      <c r="AO164" s="36">
        <v>3891.52</v>
      </c>
      <c r="AP164" s="35">
        <v>576.87</v>
      </c>
      <c r="AQ164" s="35">
        <v>47.41</v>
      </c>
      <c r="AR164" s="35">
        <v>23.88</v>
      </c>
      <c r="AS164" s="35">
        <v>180.78</v>
      </c>
      <c r="AT164" s="35">
        <v>29.37</v>
      </c>
      <c r="AU164" s="96">
        <v>48215.199999999997</v>
      </c>
      <c r="AV164" s="126">
        <v>5616.55</v>
      </c>
      <c r="AW164" s="69">
        <v>7005.21</v>
      </c>
      <c r="AX164" s="35">
        <v>804.58</v>
      </c>
      <c r="AY164" s="36">
        <v>7044.17</v>
      </c>
      <c r="AZ164" s="35">
        <v>806.03</v>
      </c>
      <c r="BA164" s="35">
        <v>81.77</v>
      </c>
      <c r="BB164" s="35">
        <v>18.690000000000001</v>
      </c>
      <c r="BC164" s="35">
        <v>39.28</v>
      </c>
      <c r="BD164" s="35">
        <v>22.29</v>
      </c>
      <c r="BE164" s="96">
        <v>14170.43</v>
      </c>
      <c r="BF164" s="126">
        <v>1651.59</v>
      </c>
      <c r="BG164" s="69">
        <v>23099.79</v>
      </c>
      <c r="BH164" s="171">
        <v>1249.8</v>
      </c>
      <c r="BI164" s="153">
        <v>117243.83</v>
      </c>
      <c r="BJ164" s="187">
        <v>13364</v>
      </c>
    </row>
    <row r="165" spans="1:62" x14ac:dyDescent="0.25">
      <c r="A165" s="272"/>
      <c r="B165" s="275"/>
      <c r="C165" s="30">
        <v>2</v>
      </c>
      <c r="D165" s="242">
        <v>158</v>
      </c>
      <c r="E165" s="69">
        <v>6649.2</v>
      </c>
      <c r="F165" s="67">
        <v>1320.16</v>
      </c>
      <c r="G165" s="30"/>
      <c r="H165" s="30"/>
      <c r="I165" s="30"/>
      <c r="J165" s="30"/>
      <c r="K165" s="34">
        <v>357.9</v>
      </c>
      <c r="L165" s="35">
        <v>116.57</v>
      </c>
      <c r="M165" s="36">
        <v>4467.92</v>
      </c>
      <c r="N165" s="36">
        <v>1424.07</v>
      </c>
      <c r="O165" s="96">
        <v>11475.03</v>
      </c>
      <c r="P165" s="126">
        <v>2860.8</v>
      </c>
      <c r="Q165" s="69">
        <v>4567.08</v>
      </c>
      <c r="R165" s="35">
        <v>952.8</v>
      </c>
      <c r="S165" s="35">
        <v>45.18</v>
      </c>
      <c r="T165" s="35">
        <v>19.260000000000002</v>
      </c>
      <c r="U165" s="35">
        <v>548.45000000000005</v>
      </c>
      <c r="V165" s="35">
        <v>141.84</v>
      </c>
      <c r="W165" s="35">
        <v>0</v>
      </c>
      <c r="X165" s="35">
        <v>0</v>
      </c>
      <c r="Y165" s="96">
        <v>5160.71</v>
      </c>
      <c r="Z165" s="126">
        <v>1113.9000000000001</v>
      </c>
      <c r="AA165" s="69">
        <v>10834.73</v>
      </c>
      <c r="AB165" s="35">
        <v>416.26</v>
      </c>
      <c r="AC165" s="36">
        <v>3942.4</v>
      </c>
      <c r="AD165" s="35">
        <v>531.79</v>
      </c>
      <c r="AE165" s="36">
        <v>1416.15</v>
      </c>
      <c r="AF165" s="35">
        <v>139.22999999999999</v>
      </c>
      <c r="AG165" s="35">
        <v>247.5</v>
      </c>
      <c r="AH165" s="35">
        <v>74.23</v>
      </c>
      <c r="AI165" s="96">
        <v>16440.79</v>
      </c>
      <c r="AJ165" s="126">
        <v>1161.5</v>
      </c>
      <c r="AK165" s="69">
        <v>46837.3</v>
      </c>
      <c r="AL165" s="36">
        <v>5559.77</v>
      </c>
      <c r="AM165" s="36">
        <v>4335.05</v>
      </c>
      <c r="AN165" s="35">
        <v>328.96</v>
      </c>
      <c r="AO165" s="36">
        <v>3862.5</v>
      </c>
      <c r="AP165" s="35">
        <v>561.12</v>
      </c>
      <c r="AQ165" s="35">
        <v>48.84</v>
      </c>
      <c r="AR165" s="35">
        <v>19.04</v>
      </c>
      <c r="AS165" s="35">
        <v>441.97</v>
      </c>
      <c r="AT165" s="35">
        <v>47.01</v>
      </c>
      <c r="AU165" s="96">
        <v>55525.66</v>
      </c>
      <c r="AV165" s="126">
        <v>6515.9</v>
      </c>
      <c r="AW165" s="69">
        <v>6957.45</v>
      </c>
      <c r="AX165" s="35">
        <v>753.57</v>
      </c>
      <c r="AY165" s="36">
        <v>6645.39</v>
      </c>
      <c r="AZ165" s="35">
        <v>785.86</v>
      </c>
      <c r="BA165" s="35">
        <v>118.51</v>
      </c>
      <c r="BB165" s="35">
        <v>23.1</v>
      </c>
      <c r="BC165" s="35">
        <v>54.96</v>
      </c>
      <c r="BD165" s="35">
        <v>21.66</v>
      </c>
      <c r="BE165" s="96">
        <v>13776.31</v>
      </c>
      <c r="BF165" s="126">
        <v>1584.18</v>
      </c>
      <c r="BG165" s="69">
        <v>30252.53</v>
      </c>
      <c r="BH165" s="171">
        <v>1577.98</v>
      </c>
      <c r="BI165" s="153">
        <v>132631.03</v>
      </c>
      <c r="BJ165" s="187">
        <v>14814.27</v>
      </c>
    </row>
    <row r="166" spans="1:62" x14ac:dyDescent="0.25">
      <c r="A166" s="272"/>
      <c r="B166" s="275"/>
      <c r="C166" s="30">
        <v>3</v>
      </c>
      <c r="D166" s="242">
        <v>159</v>
      </c>
      <c r="E166" s="69">
        <v>7546.01</v>
      </c>
      <c r="F166" s="67">
        <v>1718.05</v>
      </c>
      <c r="G166" s="30"/>
      <c r="H166" s="30"/>
      <c r="I166" s="30"/>
      <c r="J166" s="30"/>
      <c r="K166" s="34">
        <v>415.41</v>
      </c>
      <c r="L166" s="35">
        <v>122.82</v>
      </c>
      <c r="M166" s="36">
        <v>4806.9399999999996</v>
      </c>
      <c r="N166" s="36">
        <v>1623.08</v>
      </c>
      <c r="O166" s="96">
        <v>12768.36</v>
      </c>
      <c r="P166" s="126">
        <v>3463.95</v>
      </c>
      <c r="Q166" s="69">
        <v>3308.83</v>
      </c>
      <c r="R166" s="35">
        <v>677.75</v>
      </c>
      <c r="S166" s="35">
        <v>68.14</v>
      </c>
      <c r="T166" s="35">
        <v>20.83</v>
      </c>
      <c r="U166" s="35">
        <v>562.96</v>
      </c>
      <c r="V166" s="35">
        <v>164.23</v>
      </c>
      <c r="W166" s="35">
        <v>0</v>
      </c>
      <c r="X166" s="35">
        <v>0</v>
      </c>
      <c r="Y166" s="96">
        <v>3939.93</v>
      </c>
      <c r="Z166" s="127">
        <v>862.81</v>
      </c>
      <c r="AA166" s="69">
        <v>12663.56</v>
      </c>
      <c r="AB166" s="35">
        <v>506.13</v>
      </c>
      <c r="AC166" s="36">
        <v>3859.38</v>
      </c>
      <c r="AD166" s="35">
        <v>552.47</v>
      </c>
      <c r="AE166" s="36">
        <v>2961.28</v>
      </c>
      <c r="AF166" s="35">
        <v>258.67</v>
      </c>
      <c r="AG166" s="35">
        <v>212.88</v>
      </c>
      <c r="AH166" s="35">
        <v>54.8</v>
      </c>
      <c r="AI166" s="96">
        <v>19697.099999999999</v>
      </c>
      <c r="AJ166" s="126">
        <v>1372.07</v>
      </c>
      <c r="AK166" s="69">
        <v>48014.47</v>
      </c>
      <c r="AL166" s="36">
        <v>5926.2</v>
      </c>
      <c r="AM166" s="36">
        <v>5085.0600000000004</v>
      </c>
      <c r="AN166" s="35">
        <v>419.06</v>
      </c>
      <c r="AO166" s="36">
        <v>4711.8100000000004</v>
      </c>
      <c r="AP166" s="35">
        <v>652.64</v>
      </c>
      <c r="AQ166" s="35">
        <v>76.28</v>
      </c>
      <c r="AR166" s="35">
        <v>25.49</v>
      </c>
      <c r="AS166" s="35">
        <v>539.79999999999995</v>
      </c>
      <c r="AT166" s="35">
        <v>69.069999999999993</v>
      </c>
      <c r="AU166" s="96">
        <v>58427.42</v>
      </c>
      <c r="AV166" s="126">
        <v>7092.46</v>
      </c>
      <c r="AW166" s="69">
        <v>7209.27</v>
      </c>
      <c r="AX166" s="35">
        <v>824.91</v>
      </c>
      <c r="AY166" s="36">
        <v>6334.71</v>
      </c>
      <c r="AZ166" s="35">
        <v>785.33</v>
      </c>
      <c r="BA166" s="35">
        <v>143.24</v>
      </c>
      <c r="BB166" s="35">
        <v>39.93</v>
      </c>
      <c r="BC166" s="35">
        <v>50.31</v>
      </c>
      <c r="BD166" s="35">
        <v>22.06</v>
      </c>
      <c r="BE166" s="96">
        <v>13737.52</v>
      </c>
      <c r="BF166" s="126">
        <v>1672.24</v>
      </c>
      <c r="BG166" s="69">
        <v>36001</v>
      </c>
      <c r="BH166" s="171">
        <v>1789.04</v>
      </c>
      <c r="BI166" s="153">
        <v>144571.32999999999</v>
      </c>
      <c r="BJ166" s="187">
        <v>16252.57</v>
      </c>
    </row>
    <row r="167" spans="1:62" x14ac:dyDescent="0.25">
      <c r="A167" s="272"/>
      <c r="B167" s="275"/>
      <c r="C167" s="30">
        <v>4</v>
      </c>
      <c r="D167" s="242">
        <v>160</v>
      </c>
      <c r="E167" s="69">
        <v>7480.05</v>
      </c>
      <c r="F167" s="67">
        <v>1990.23</v>
      </c>
      <c r="G167" s="68"/>
      <c r="H167" s="68"/>
      <c r="I167" s="68"/>
      <c r="J167" s="68"/>
      <c r="K167" s="34">
        <v>258.5</v>
      </c>
      <c r="L167" s="35">
        <v>92.61</v>
      </c>
      <c r="M167" s="36">
        <v>4716.67</v>
      </c>
      <c r="N167" s="36">
        <v>1722.62</v>
      </c>
      <c r="O167" s="96">
        <v>12455.22</v>
      </c>
      <c r="P167" s="126">
        <v>3805.47</v>
      </c>
      <c r="Q167" s="69">
        <v>3917.08</v>
      </c>
      <c r="R167" s="35">
        <v>670.62</v>
      </c>
      <c r="S167" s="35">
        <v>34.630000000000003</v>
      </c>
      <c r="T167" s="35">
        <v>34.229999999999997</v>
      </c>
      <c r="U167" s="35">
        <v>494.15</v>
      </c>
      <c r="V167" s="35">
        <v>152.66999999999999</v>
      </c>
      <c r="W167" s="35">
        <v>0.62</v>
      </c>
      <c r="X167" s="35">
        <v>0.53</v>
      </c>
      <c r="Y167" s="96">
        <v>4446.47</v>
      </c>
      <c r="Z167" s="127">
        <v>858.06</v>
      </c>
      <c r="AA167" s="69">
        <v>13789.48</v>
      </c>
      <c r="AB167" s="35">
        <v>612.66</v>
      </c>
      <c r="AC167" s="36">
        <v>4506.8100000000004</v>
      </c>
      <c r="AD167" s="35">
        <v>588.80999999999995</v>
      </c>
      <c r="AE167" s="36">
        <v>3800.28</v>
      </c>
      <c r="AF167" s="35">
        <v>306.14999999999998</v>
      </c>
      <c r="AG167" s="35">
        <v>86.68</v>
      </c>
      <c r="AH167" s="35">
        <v>24.28</v>
      </c>
      <c r="AI167" s="96">
        <v>22183.24</v>
      </c>
      <c r="AJ167" s="126">
        <v>1531.9</v>
      </c>
      <c r="AK167" s="69">
        <v>51619.57</v>
      </c>
      <c r="AL167" s="36">
        <v>6698.72</v>
      </c>
      <c r="AM167" s="36">
        <v>6400.02</v>
      </c>
      <c r="AN167" s="35">
        <v>511.34</v>
      </c>
      <c r="AO167" s="36">
        <v>5359.7</v>
      </c>
      <c r="AP167" s="35">
        <v>706.79</v>
      </c>
      <c r="AQ167" s="35">
        <v>62.68</v>
      </c>
      <c r="AR167" s="35">
        <v>29.23</v>
      </c>
      <c r="AS167" s="35">
        <v>499.28</v>
      </c>
      <c r="AT167" s="35">
        <v>79.11</v>
      </c>
      <c r="AU167" s="96">
        <v>63941.25</v>
      </c>
      <c r="AV167" s="126">
        <v>8025.18</v>
      </c>
      <c r="AW167" s="69">
        <v>8330.7900000000009</v>
      </c>
      <c r="AX167" s="35">
        <v>939.21</v>
      </c>
      <c r="AY167" s="36">
        <v>5478.37</v>
      </c>
      <c r="AZ167" s="35">
        <v>703.72</v>
      </c>
      <c r="BA167" s="35">
        <v>20.32</v>
      </c>
      <c r="BB167" s="35">
        <v>6.98</v>
      </c>
      <c r="BC167" s="35">
        <v>22.64</v>
      </c>
      <c r="BD167" s="35">
        <v>10.02</v>
      </c>
      <c r="BE167" s="96">
        <v>13852.13</v>
      </c>
      <c r="BF167" s="126">
        <v>1659.92</v>
      </c>
      <c r="BG167" s="69">
        <v>34116.699999999997</v>
      </c>
      <c r="BH167" s="171">
        <v>1762.07</v>
      </c>
      <c r="BI167" s="153">
        <v>150995</v>
      </c>
      <c r="BJ167" s="187">
        <v>17642.599999999999</v>
      </c>
    </row>
    <row r="168" spans="1:62" x14ac:dyDescent="0.25">
      <c r="A168" s="272"/>
      <c r="B168" s="275"/>
      <c r="C168" s="30">
        <v>5</v>
      </c>
      <c r="D168" s="242">
        <v>161</v>
      </c>
      <c r="E168" s="69">
        <v>7403.63</v>
      </c>
      <c r="F168" s="67">
        <v>1959.91</v>
      </c>
      <c r="G168" s="68"/>
      <c r="H168" s="68"/>
      <c r="I168" s="68"/>
      <c r="J168" s="68"/>
      <c r="K168" s="34">
        <v>498.31</v>
      </c>
      <c r="L168" s="35">
        <v>153.43</v>
      </c>
      <c r="M168" s="36">
        <v>4842.1499999999996</v>
      </c>
      <c r="N168" s="36">
        <v>1695.45</v>
      </c>
      <c r="O168" s="96">
        <v>12744.09</v>
      </c>
      <c r="P168" s="126">
        <v>3808.79</v>
      </c>
      <c r="Q168" s="69">
        <v>4301.4799999999996</v>
      </c>
      <c r="R168" s="35">
        <v>537.72</v>
      </c>
      <c r="S168" s="35">
        <v>94.14</v>
      </c>
      <c r="T168" s="35">
        <v>19.309999999999999</v>
      </c>
      <c r="U168" s="35">
        <v>481.54</v>
      </c>
      <c r="V168" s="35">
        <v>142.82</v>
      </c>
      <c r="W168" s="35">
        <v>0</v>
      </c>
      <c r="X168" s="35">
        <v>0</v>
      </c>
      <c r="Y168" s="96">
        <v>4877.16</v>
      </c>
      <c r="Z168" s="127">
        <v>699.85</v>
      </c>
      <c r="AA168" s="69">
        <v>15168.24</v>
      </c>
      <c r="AB168" s="35">
        <v>678.05</v>
      </c>
      <c r="AC168" s="36">
        <v>4062.19</v>
      </c>
      <c r="AD168" s="35">
        <v>476.94</v>
      </c>
      <c r="AE168" s="36">
        <v>2570.16</v>
      </c>
      <c r="AF168" s="35">
        <v>187.83</v>
      </c>
      <c r="AG168" s="35">
        <v>152.76</v>
      </c>
      <c r="AH168" s="35">
        <v>55.03</v>
      </c>
      <c r="AI168" s="96">
        <v>21953.35</v>
      </c>
      <c r="AJ168" s="126">
        <v>1397.84</v>
      </c>
      <c r="AK168" s="69">
        <v>54581.03</v>
      </c>
      <c r="AL168" s="36">
        <v>7235.66</v>
      </c>
      <c r="AM168" s="36">
        <v>5661.28</v>
      </c>
      <c r="AN168" s="35">
        <v>417.23</v>
      </c>
      <c r="AO168" s="36">
        <v>5381.12</v>
      </c>
      <c r="AP168" s="35">
        <v>740.31</v>
      </c>
      <c r="AQ168" s="35">
        <v>69.97</v>
      </c>
      <c r="AR168" s="35">
        <v>35.83</v>
      </c>
      <c r="AS168" s="35">
        <v>350.01</v>
      </c>
      <c r="AT168" s="35">
        <v>52.73</v>
      </c>
      <c r="AU168" s="96">
        <v>66043.41</v>
      </c>
      <c r="AV168" s="126">
        <v>8481.75</v>
      </c>
      <c r="AW168" s="69">
        <v>7209.35</v>
      </c>
      <c r="AX168" s="35">
        <v>881.06</v>
      </c>
      <c r="AY168" s="36">
        <v>6002.94</v>
      </c>
      <c r="AZ168" s="35">
        <v>740.28</v>
      </c>
      <c r="BA168" s="35">
        <v>70.819999999999993</v>
      </c>
      <c r="BB168" s="35">
        <v>7.23</v>
      </c>
      <c r="BC168" s="35">
        <v>26.78</v>
      </c>
      <c r="BD168" s="35">
        <v>14.41</v>
      </c>
      <c r="BE168" s="96">
        <v>13309.9</v>
      </c>
      <c r="BF168" s="126">
        <v>1642.98</v>
      </c>
      <c r="BG168" s="69">
        <v>34113.089999999997</v>
      </c>
      <c r="BH168" s="171">
        <v>1769.91</v>
      </c>
      <c r="BI168" s="153">
        <v>153040.99</v>
      </c>
      <c r="BJ168" s="187">
        <v>17801.13</v>
      </c>
    </row>
    <row r="169" spans="1:62" x14ac:dyDescent="0.25">
      <c r="A169" s="272"/>
      <c r="B169" s="275"/>
      <c r="C169" s="30">
        <v>6</v>
      </c>
      <c r="D169" s="242">
        <v>162</v>
      </c>
      <c r="E169" s="69">
        <v>6524.84</v>
      </c>
      <c r="F169" s="67">
        <v>2009.8</v>
      </c>
      <c r="G169" s="30"/>
      <c r="H169" s="30"/>
      <c r="I169" s="30"/>
      <c r="J169" s="30"/>
      <c r="K169" s="34">
        <v>405.62</v>
      </c>
      <c r="L169" s="35">
        <v>145.78</v>
      </c>
      <c r="M169" s="36">
        <v>4966.49</v>
      </c>
      <c r="N169" s="36">
        <v>1704.86</v>
      </c>
      <c r="O169" s="96">
        <v>11896.94</v>
      </c>
      <c r="P169" s="126">
        <v>3860.44</v>
      </c>
      <c r="Q169" s="69">
        <v>3901.71</v>
      </c>
      <c r="R169" s="35">
        <v>664.43</v>
      </c>
      <c r="S169" s="35">
        <v>37.700000000000003</v>
      </c>
      <c r="T169" s="35">
        <v>16.100000000000001</v>
      </c>
      <c r="U169" s="35">
        <v>660.32</v>
      </c>
      <c r="V169" s="35">
        <v>180.72</v>
      </c>
      <c r="W169" s="35">
        <v>0</v>
      </c>
      <c r="X169" s="35">
        <v>0</v>
      </c>
      <c r="Y169" s="96">
        <v>4599.7299999999996</v>
      </c>
      <c r="Z169" s="127">
        <v>861.24</v>
      </c>
      <c r="AA169" s="69">
        <v>10664.59</v>
      </c>
      <c r="AB169" s="35">
        <v>435.43</v>
      </c>
      <c r="AC169" s="36">
        <v>3717.45</v>
      </c>
      <c r="AD169" s="35">
        <v>460.52</v>
      </c>
      <c r="AE169" s="36">
        <v>1772.82</v>
      </c>
      <c r="AF169" s="35">
        <v>139.71</v>
      </c>
      <c r="AG169" s="35">
        <v>150.1</v>
      </c>
      <c r="AH169" s="35">
        <v>56.39</v>
      </c>
      <c r="AI169" s="96">
        <v>16304.96</v>
      </c>
      <c r="AJ169" s="126">
        <v>1092.05</v>
      </c>
      <c r="AK169" s="69">
        <v>50979.44</v>
      </c>
      <c r="AL169" s="36">
        <v>6631.81</v>
      </c>
      <c r="AM169" s="36">
        <v>5537.24</v>
      </c>
      <c r="AN169" s="35">
        <v>429.03</v>
      </c>
      <c r="AO169" s="36">
        <v>5546.07</v>
      </c>
      <c r="AP169" s="35">
        <v>650.45000000000005</v>
      </c>
      <c r="AQ169" s="35">
        <v>71.31</v>
      </c>
      <c r="AR169" s="35">
        <v>32.74</v>
      </c>
      <c r="AS169" s="35">
        <v>661.85</v>
      </c>
      <c r="AT169" s="35">
        <v>97.13</v>
      </c>
      <c r="AU169" s="96">
        <v>62795.9</v>
      </c>
      <c r="AV169" s="126">
        <v>7841.16</v>
      </c>
      <c r="AW169" s="69">
        <v>7978.95</v>
      </c>
      <c r="AX169" s="35">
        <v>945.88</v>
      </c>
      <c r="AY169" s="36">
        <v>5943.86</v>
      </c>
      <c r="AZ169" s="35">
        <v>744.92</v>
      </c>
      <c r="BA169" s="36">
        <v>3883.34</v>
      </c>
      <c r="BB169" s="35">
        <v>701.71</v>
      </c>
      <c r="BC169" s="35">
        <v>39.6</v>
      </c>
      <c r="BD169" s="35">
        <v>12.27</v>
      </c>
      <c r="BE169" s="96">
        <v>17845.759999999998</v>
      </c>
      <c r="BF169" s="126">
        <v>2404.79</v>
      </c>
      <c r="BG169" s="69">
        <v>30265.71</v>
      </c>
      <c r="BH169" s="171">
        <v>1587.74</v>
      </c>
      <c r="BI169" s="153">
        <v>143708.99</v>
      </c>
      <c r="BJ169" s="187">
        <v>17647.41</v>
      </c>
    </row>
    <row r="170" spans="1:62" x14ac:dyDescent="0.25">
      <c r="A170" s="272"/>
      <c r="B170" s="275"/>
      <c r="C170" s="30">
        <v>7</v>
      </c>
      <c r="D170" s="242">
        <v>163</v>
      </c>
      <c r="E170" s="69">
        <v>6995.18</v>
      </c>
      <c r="F170" s="67">
        <v>1935.6</v>
      </c>
      <c r="G170" s="30"/>
      <c r="H170" s="30"/>
      <c r="I170" s="30"/>
      <c r="J170" s="30"/>
      <c r="K170" s="34">
        <v>440.39</v>
      </c>
      <c r="L170" s="35">
        <v>141.51</v>
      </c>
      <c r="M170" s="36">
        <v>5327.48</v>
      </c>
      <c r="N170" s="36">
        <v>1796.59</v>
      </c>
      <c r="O170" s="96">
        <v>12763.05</v>
      </c>
      <c r="P170" s="126">
        <v>3873.7</v>
      </c>
      <c r="Q170" s="69">
        <v>2934.11</v>
      </c>
      <c r="R170" s="35">
        <v>634.23</v>
      </c>
      <c r="S170" s="35">
        <v>11.46</v>
      </c>
      <c r="T170" s="35">
        <v>10.27</v>
      </c>
      <c r="U170" s="35">
        <v>534.67999999999995</v>
      </c>
      <c r="V170" s="35">
        <v>120.48</v>
      </c>
      <c r="W170" s="35">
        <v>0</v>
      </c>
      <c r="X170" s="35">
        <v>0</v>
      </c>
      <c r="Y170" s="96">
        <v>3480.25</v>
      </c>
      <c r="Z170" s="127">
        <v>764.98</v>
      </c>
      <c r="AA170" s="69">
        <v>9341.7000000000007</v>
      </c>
      <c r="AB170" s="35">
        <v>384.63</v>
      </c>
      <c r="AC170" s="36">
        <v>4221.05</v>
      </c>
      <c r="AD170" s="35">
        <v>521.09</v>
      </c>
      <c r="AE170" s="36">
        <v>2232.35</v>
      </c>
      <c r="AF170" s="35">
        <v>150.54</v>
      </c>
      <c r="AG170" s="35">
        <v>143.47999999999999</v>
      </c>
      <c r="AH170" s="35">
        <v>61.72</v>
      </c>
      <c r="AI170" s="96">
        <v>15938.58</v>
      </c>
      <c r="AJ170" s="126">
        <v>1117.98</v>
      </c>
      <c r="AK170" s="69">
        <v>47973.83</v>
      </c>
      <c r="AL170" s="36">
        <v>6088.79</v>
      </c>
      <c r="AM170" s="36">
        <v>5241.59</v>
      </c>
      <c r="AN170" s="35">
        <v>380.27</v>
      </c>
      <c r="AO170" s="36">
        <v>4632.99</v>
      </c>
      <c r="AP170" s="35">
        <v>567.96</v>
      </c>
      <c r="AQ170" s="35">
        <v>75.010000000000005</v>
      </c>
      <c r="AR170" s="35">
        <v>35.78</v>
      </c>
      <c r="AS170" s="35">
        <v>902.98</v>
      </c>
      <c r="AT170" s="35">
        <v>101.74</v>
      </c>
      <c r="AU170" s="96">
        <v>58826.400000000001</v>
      </c>
      <c r="AV170" s="126">
        <v>7174.53</v>
      </c>
      <c r="AW170" s="69">
        <v>7191.78</v>
      </c>
      <c r="AX170" s="35">
        <v>790.72</v>
      </c>
      <c r="AY170" s="36">
        <v>5980.12</v>
      </c>
      <c r="AZ170" s="35">
        <v>726.28</v>
      </c>
      <c r="BA170" s="36">
        <v>3800.26</v>
      </c>
      <c r="BB170" s="35">
        <v>659.4</v>
      </c>
      <c r="BC170" s="35">
        <v>50.8</v>
      </c>
      <c r="BD170" s="35">
        <v>9.1999999999999993</v>
      </c>
      <c r="BE170" s="96">
        <v>17022.97</v>
      </c>
      <c r="BF170" s="126">
        <v>2185.61</v>
      </c>
      <c r="BG170" s="69">
        <v>24925.95</v>
      </c>
      <c r="BH170" s="171">
        <v>1427.47</v>
      </c>
      <c r="BI170" s="153">
        <v>132957.19</v>
      </c>
      <c r="BJ170" s="187">
        <v>16544.27</v>
      </c>
    </row>
    <row r="171" spans="1:62" x14ac:dyDescent="0.25">
      <c r="A171" s="272"/>
      <c r="B171" s="275"/>
      <c r="C171" s="30">
        <v>8</v>
      </c>
      <c r="D171" s="242">
        <v>164</v>
      </c>
      <c r="E171" s="69">
        <v>7121.8</v>
      </c>
      <c r="F171" s="67">
        <v>1782.96</v>
      </c>
      <c r="G171" s="30"/>
      <c r="H171" s="30"/>
      <c r="I171" s="30"/>
      <c r="J171" s="30"/>
      <c r="K171" s="34">
        <v>295.49</v>
      </c>
      <c r="L171" s="35">
        <v>108.77</v>
      </c>
      <c r="M171" s="36">
        <v>5522.19</v>
      </c>
      <c r="N171" s="36">
        <v>1965.1</v>
      </c>
      <c r="O171" s="96">
        <v>12939.48</v>
      </c>
      <c r="P171" s="126">
        <v>3856.83</v>
      </c>
      <c r="Q171" s="69">
        <v>2395.65</v>
      </c>
      <c r="R171" s="35">
        <v>563.99</v>
      </c>
      <c r="S171" s="35">
        <v>6.44</v>
      </c>
      <c r="T171" s="35">
        <v>6.17</v>
      </c>
      <c r="U171" s="35">
        <v>651.6</v>
      </c>
      <c r="V171" s="35">
        <v>155.28</v>
      </c>
      <c r="W171" s="35">
        <v>0</v>
      </c>
      <c r="X171" s="35">
        <v>0</v>
      </c>
      <c r="Y171" s="96">
        <v>3053.68</v>
      </c>
      <c r="Z171" s="127">
        <v>725.43</v>
      </c>
      <c r="AA171" s="69">
        <v>8841.5400000000009</v>
      </c>
      <c r="AB171" s="35">
        <v>383.57</v>
      </c>
      <c r="AC171" s="36">
        <v>4135.41</v>
      </c>
      <c r="AD171" s="35">
        <v>542.07000000000005</v>
      </c>
      <c r="AE171" s="36">
        <v>1602.49</v>
      </c>
      <c r="AF171" s="35">
        <v>155.71</v>
      </c>
      <c r="AG171" s="35">
        <v>167.08</v>
      </c>
      <c r="AH171" s="35">
        <v>64.349999999999994</v>
      </c>
      <c r="AI171" s="96">
        <v>14746.52</v>
      </c>
      <c r="AJ171" s="126">
        <v>1145.7</v>
      </c>
      <c r="AK171" s="69">
        <v>48839.42</v>
      </c>
      <c r="AL171" s="36">
        <v>6170.28</v>
      </c>
      <c r="AM171" s="36">
        <v>5968.16</v>
      </c>
      <c r="AN171" s="35">
        <v>429.06</v>
      </c>
      <c r="AO171" s="36">
        <v>4058.18</v>
      </c>
      <c r="AP171" s="35">
        <v>499.87</v>
      </c>
      <c r="AQ171" s="35">
        <v>86.96</v>
      </c>
      <c r="AR171" s="35">
        <v>38.53</v>
      </c>
      <c r="AS171" s="36">
        <v>1036.04</v>
      </c>
      <c r="AT171" s="35">
        <v>106.32</v>
      </c>
      <c r="AU171" s="96">
        <v>59988.75</v>
      </c>
      <c r="AV171" s="126">
        <v>7244.05</v>
      </c>
      <c r="AW171" s="69">
        <v>7706.15</v>
      </c>
      <c r="AX171" s="35">
        <v>856.93</v>
      </c>
      <c r="AY171" s="36">
        <v>6239.12</v>
      </c>
      <c r="AZ171" s="35">
        <v>765.88</v>
      </c>
      <c r="BA171" s="36">
        <v>2960.07</v>
      </c>
      <c r="BB171" s="35">
        <v>479.63</v>
      </c>
      <c r="BC171" s="35">
        <v>49.7</v>
      </c>
      <c r="BD171" s="35">
        <v>13.5</v>
      </c>
      <c r="BE171" s="96">
        <v>16955.03</v>
      </c>
      <c r="BF171" s="126">
        <v>2115.94</v>
      </c>
      <c r="BG171" s="69">
        <v>26939.279999999999</v>
      </c>
      <c r="BH171" s="171">
        <v>1599.85</v>
      </c>
      <c r="BI171" s="153">
        <v>134622.74</v>
      </c>
      <c r="BJ171" s="187">
        <v>16687.810000000001</v>
      </c>
    </row>
    <row r="172" spans="1:62" x14ac:dyDescent="0.25">
      <c r="A172" s="272"/>
      <c r="B172" s="275"/>
      <c r="C172" s="30">
        <v>9</v>
      </c>
      <c r="D172" s="242">
        <v>165</v>
      </c>
      <c r="E172" s="69">
        <v>7071.62</v>
      </c>
      <c r="F172" s="67">
        <v>1725.87</v>
      </c>
      <c r="G172" s="30"/>
      <c r="H172" s="30"/>
      <c r="I172" s="30"/>
      <c r="J172" s="30"/>
      <c r="K172" s="34">
        <v>642.76</v>
      </c>
      <c r="L172" s="35">
        <v>220.86</v>
      </c>
      <c r="M172" s="36">
        <v>6645.38</v>
      </c>
      <c r="N172" s="36">
        <v>2282.41</v>
      </c>
      <c r="O172" s="96">
        <v>14359.76</v>
      </c>
      <c r="P172" s="126">
        <v>4229.1400000000003</v>
      </c>
      <c r="Q172" s="69">
        <v>2981.02</v>
      </c>
      <c r="R172" s="35">
        <v>673.3</v>
      </c>
      <c r="S172" s="35">
        <v>10.88</v>
      </c>
      <c r="T172" s="35">
        <v>9.74</v>
      </c>
      <c r="U172" s="35">
        <v>545.32000000000005</v>
      </c>
      <c r="V172" s="35">
        <v>151.97</v>
      </c>
      <c r="W172" s="35">
        <v>2.78</v>
      </c>
      <c r="X172" s="35">
        <v>2.27</v>
      </c>
      <c r="Y172" s="96">
        <v>3539.99</v>
      </c>
      <c r="Z172" s="127">
        <v>837.28</v>
      </c>
      <c r="AA172" s="69">
        <v>9015.5400000000009</v>
      </c>
      <c r="AB172" s="35">
        <v>368.01</v>
      </c>
      <c r="AC172" s="36">
        <v>4245.75</v>
      </c>
      <c r="AD172" s="35">
        <v>542.63</v>
      </c>
      <c r="AE172" s="36">
        <v>1959.76</v>
      </c>
      <c r="AF172" s="35">
        <v>171.69</v>
      </c>
      <c r="AG172" s="35">
        <v>173.35</v>
      </c>
      <c r="AH172" s="35">
        <v>67.61</v>
      </c>
      <c r="AI172" s="96">
        <v>15394.39</v>
      </c>
      <c r="AJ172" s="126">
        <v>1149.94</v>
      </c>
      <c r="AK172" s="69">
        <v>48243.24</v>
      </c>
      <c r="AL172" s="36">
        <v>5944</v>
      </c>
      <c r="AM172" s="36">
        <v>5356.45</v>
      </c>
      <c r="AN172" s="35">
        <v>389.75</v>
      </c>
      <c r="AO172" s="36">
        <v>3690.34</v>
      </c>
      <c r="AP172" s="35">
        <v>480.72</v>
      </c>
      <c r="AQ172" s="35">
        <v>62.95</v>
      </c>
      <c r="AR172" s="35">
        <v>23.76</v>
      </c>
      <c r="AS172" s="36">
        <v>1056.2</v>
      </c>
      <c r="AT172" s="35">
        <v>123.38</v>
      </c>
      <c r="AU172" s="96">
        <v>58409.18</v>
      </c>
      <c r="AV172" s="126">
        <v>6961.61</v>
      </c>
      <c r="AW172" s="69">
        <v>8467.33</v>
      </c>
      <c r="AX172" s="35">
        <v>956.68</v>
      </c>
      <c r="AY172" s="36">
        <v>7582.18</v>
      </c>
      <c r="AZ172" s="35">
        <v>935.22</v>
      </c>
      <c r="BA172" s="36">
        <v>3135.34</v>
      </c>
      <c r="BB172" s="35">
        <v>510.25</v>
      </c>
      <c r="BC172" s="35">
        <v>81.12</v>
      </c>
      <c r="BD172" s="35">
        <v>20.39</v>
      </c>
      <c r="BE172" s="96">
        <v>19265.97</v>
      </c>
      <c r="BF172" s="126">
        <v>2422.54</v>
      </c>
      <c r="BG172" s="69">
        <v>24365.119999999999</v>
      </c>
      <c r="BH172" s="171">
        <v>1462.37</v>
      </c>
      <c r="BI172" s="153">
        <v>135334.41</v>
      </c>
      <c r="BJ172" s="187">
        <v>17062.88</v>
      </c>
    </row>
    <row r="173" spans="1:62" x14ac:dyDescent="0.25">
      <c r="A173" s="272"/>
      <c r="B173" s="275"/>
      <c r="C173" s="30">
        <v>10</v>
      </c>
      <c r="D173" s="242">
        <v>166</v>
      </c>
      <c r="E173" s="69">
        <v>7010.33</v>
      </c>
      <c r="F173" s="67">
        <v>1897.74</v>
      </c>
      <c r="G173" s="30"/>
      <c r="H173" s="30"/>
      <c r="I173" s="30"/>
      <c r="J173" s="30"/>
      <c r="K173" s="69">
        <v>1160.83</v>
      </c>
      <c r="L173" s="35">
        <v>363.9</v>
      </c>
      <c r="M173" s="36">
        <v>7183.67</v>
      </c>
      <c r="N173" s="36">
        <v>2455.1999999999998</v>
      </c>
      <c r="O173" s="96">
        <v>15354.83</v>
      </c>
      <c r="P173" s="126">
        <v>4716.83</v>
      </c>
      <c r="Q173" s="69">
        <v>3914.21</v>
      </c>
      <c r="R173" s="35">
        <v>845.06</v>
      </c>
      <c r="S173" s="35">
        <v>24.75</v>
      </c>
      <c r="T173" s="35">
        <v>20.079999999999998</v>
      </c>
      <c r="U173" s="35">
        <v>635.49</v>
      </c>
      <c r="V173" s="35">
        <v>174.97</v>
      </c>
      <c r="W173" s="35">
        <v>0</v>
      </c>
      <c r="X173" s="35">
        <v>0</v>
      </c>
      <c r="Y173" s="96">
        <v>4574.45</v>
      </c>
      <c r="Z173" s="126">
        <v>1040.1099999999999</v>
      </c>
      <c r="AA173" s="69">
        <v>12273.49</v>
      </c>
      <c r="AB173" s="35">
        <v>543.64</v>
      </c>
      <c r="AC173" s="36">
        <v>4619.16</v>
      </c>
      <c r="AD173" s="35">
        <v>623.11</v>
      </c>
      <c r="AE173" s="36">
        <v>1451.54</v>
      </c>
      <c r="AF173" s="35">
        <v>138.94</v>
      </c>
      <c r="AG173" s="35">
        <v>219.82</v>
      </c>
      <c r="AH173" s="35">
        <v>67.790000000000006</v>
      </c>
      <c r="AI173" s="96">
        <v>18564</v>
      </c>
      <c r="AJ173" s="126">
        <v>1373.49</v>
      </c>
      <c r="AK173" s="69">
        <v>43707.34</v>
      </c>
      <c r="AL173" s="36">
        <v>5412.87</v>
      </c>
      <c r="AM173" s="36">
        <v>5959.28</v>
      </c>
      <c r="AN173" s="35">
        <v>429.22</v>
      </c>
      <c r="AO173" s="36">
        <v>4077.1</v>
      </c>
      <c r="AP173" s="35">
        <v>514.33000000000004</v>
      </c>
      <c r="AQ173" s="35">
        <v>99.58</v>
      </c>
      <c r="AR173" s="35">
        <v>45.6</v>
      </c>
      <c r="AS173" s="36">
        <v>1519.71</v>
      </c>
      <c r="AT173" s="35">
        <v>156.29</v>
      </c>
      <c r="AU173" s="96">
        <v>55363</v>
      </c>
      <c r="AV173" s="126">
        <v>6558.32</v>
      </c>
      <c r="AW173" s="69">
        <v>8455.0300000000007</v>
      </c>
      <c r="AX173" s="35">
        <v>928.85</v>
      </c>
      <c r="AY173" s="36">
        <v>8500.98</v>
      </c>
      <c r="AZ173" s="36">
        <v>1036.3699999999999</v>
      </c>
      <c r="BA173" s="36">
        <v>4736.45</v>
      </c>
      <c r="BB173" s="35">
        <v>681.98</v>
      </c>
      <c r="BC173" s="35">
        <v>50.25</v>
      </c>
      <c r="BD173" s="35">
        <v>13.89</v>
      </c>
      <c r="BE173" s="96">
        <v>21742.71</v>
      </c>
      <c r="BF173" s="126">
        <v>2661.09</v>
      </c>
      <c r="BG173" s="69">
        <v>27033.43</v>
      </c>
      <c r="BH173" s="171">
        <v>1551.95</v>
      </c>
      <c r="BI173" s="153">
        <v>142632.43</v>
      </c>
      <c r="BJ173" s="187">
        <v>17901.79</v>
      </c>
    </row>
    <row r="174" spans="1:62" x14ac:dyDescent="0.25">
      <c r="A174" s="272"/>
      <c r="B174" s="275"/>
      <c r="C174" s="30">
        <v>11</v>
      </c>
      <c r="D174" s="242">
        <v>167</v>
      </c>
      <c r="E174" s="69">
        <v>6782.37</v>
      </c>
      <c r="F174" s="67">
        <v>1766.23</v>
      </c>
      <c r="G174" s="30"/>
      <c r="H174" s="30"/>
      <c r="I174" s="30"/>
      <c r="J174" s="30"/>
      <c r="K174" s="34">
        <v>991.71</v>
      </c>
      <c r="L174" s="35">
        <v>314.23</v>
      </c>
      <c r="M174" s="36">
        <v>6238.01</v>
      </c>
      <c r="N174" s="36">
        <v>2142.62</v>
      </c>
      <c r="O174" s="96">
        <v>14012.1</v>
      </c>
      <c r="P174" s="126">
        <v>4223.08</v>
      </c>
      <c r="Q174" s="69">
        <v>3398.62</v>
      </c>
      <c r="R174" s="35">
        <v>585</v>
      </c>
      <c r="S174" s="35">
        <v>16.78</v>
      </c>
      <c r="T174" s="35">
        <v>16.260000000000002</v>
      </c>
      <c r="U174" s="35">
        <v>775.58</v>
      </c>
      <c r="V174" s="35">
        <v>202.03</v>
      </c>
      <c r="W174" s="35">
        <v>0</v>
      </c>
      <c r="X174" s="35">
        <v>0</v>
      </c>
      <c r="Y174" s="96">
        <v>4190.9799999999996</v>
      </c>
      <c r="Z174" s="127">
        <v>803.28</v>
      </c>
      <c r="AA174" s="69">
        <v>12426.63</v>
      </c>
      <c r="AB174" s="35">
        <v>516.64</v>
      </c>
      <c r="AC174" s="36">
        <v>4087.75</v>
      </c>
      <c r="AD174" s="35">
        <v>565.22</v>
      </c>
      <c r="AE174" s="36">
        <v>2086.25</v>
      </c>
      <c r="AF174" s="35">
        <v>182.58</v>
      </c>
      <c r="AG174" s="35">
        <v>213.71</v>
      </c>
      <c r="AH174" s="35">
        <v>63.67</v>
      </c>
      <c r="AI174" s="96">
        <v>18814.34</v>
      </c>
      <c r="AJ174" s="126">
        <v>1328.11</v>
      </c>
      <c r="AK174" s="69">
        <v>41603.599999999999</v>
      </c>
      <c r="AL174" s="36">
        <v>5112.79</v>
      </c>
      <c r="AM174" s="36">
        <v>6500.43</v>
      </c>
      <c r="AN174" s="35">
        <v>464.12</v>
      </c>
      <c r="AO174" s="36">
        <v>4675.41</v>
      </c>
      <c r="AP174" s="35">
        <v>589.05999999999995</v>
      </c>
      <c r="AQ174" s="35">
        <v>67.650000000000006</v>
      </c>
      <c r="AR174" s="35">
        <v>27.63</v>
      </c>
      <c r="AS174" s="36">
        <v>1913.94</v>
      </c>
      <c r="AT174" s="35">
        <v>167.32</v>
      </c>
      <c r="AU174" s="96">
        <v>54761.04</v>
      </c>
      <c r="AV174" s="126">
        <v>6360.92</v>
      </c>
      <c r="AW174" s="69">
        <v>8317.7999999999993</v>
      </c>
      <c r="AX174" s="35">
        <v>954.55</v>
      </c>
      <c r="AY174" s="36">
        <v>7604.23</v>
      </c>
      <c r="AZ174" s="35">
        <v>912.05</v>
      </c>
      <c r="BA174" s="36">
        <v>2205.4</v>
      </c>
      <c r="BB174" s="35">
        <v>355.07</v>
      </c>
      <c r="BC174" s="35">
        <v>78.89</v>
      </c>
      <c r="BD174" s="35">
        <v>17.100000000000001</v>
      </c>
      <c r="BE174" s="96">
        <v>18206.310000000001</v>
      </c>
      <c r="BF174" s="126">
        <v>2238.7800000000002</v>
      </c>
      <c r="BG174" s="69">
        <v>22473.35</v>
      </c>
      <c r="BH174" s="171">
        <v>1419.46</v>
      </c>
      <c r="BI174" s="153">
        <v>132458.1</v>
      </c>
      <c r="BJ174" s="187">
        <v>16373.64</v>
      </c>
    </row>
    <row r="175" spans="1:62" x14ac:dyDescent="0.25">
      <c r="A175" s="273"/>
      <c r="B175" s="276"/>
      <c r="C175" s="30">
        <v>12</v>
      </c>
      <c r="D175" s="242">
        <v>168</v>
      </c>
      <c r="E175" s="69">
        <v>5978.9</v>
      </c>
      <c r="F175" s="67">
        <v>1524.33</v>
      </c>
      <c r="G175" s="30"/>
      <c r="H175" s="30"/>
      <c r="I175" s="30"/>
      <c r="J175" s="30"/>
      <c r="K175" s="34">
        <v>820.65</v>
      </c>
      <c r="L175" s="35">
        <v>282.60000000000002</v>
      </c>
      <c r="M175" s="36">
        <v>4939.66</v>
      </c>
      <c r="N175" s="36">
        <v>1608.42</v>
      </c>
      <c r="O175" s="96">
        <v>11739.21</v>
      </c>
      <c r="P175" s="126">
        <v>3415.35</v>
      </c>
      <c r="Q175" s="69">
        <v>3688.71</v>
      </c>
      <c r="R175" s="35">
        <v>602.89</v>
      </c>
      <c r="S175" s="35">
        <v>12.47</v>
      </c>
      <c r="T175" s="35">
        <v>8.7899999999999991</v>
      </c>
      <c r="U175" s="35">
        <v>695.6</v>
      </c>
      <c r="V175" s="35">
        <v>171.26</v>
      </c>
      <c r="W175" s="35">
        <v>0</v>
      </c>
      <c r="X175" s="35">
        <v>0</v>
      </c>
      <c r="Y175" s="96">
        <v>4396.79</v>
      </c>
      <c r="Z175" s="127">
        <v>782.94</v>
      </c>
      <c r="AA175" s="69">
        <v>11553.93</v>
      </c>
      <c r="AB175" s="35">
        <v>461.23</v>
      </c>
      <c r="AC175" s="36">
        <v>3562.47</v>
      </c>
      <c r="AD175" s="35">
        <v>495.49</v>
      </c>
      <c r="AE175" s="36">
        <v>2310.79</v>
      </c>
      <c r="AF175" s="35">
        <v>196.81</v>
      </c>
      <c r="AG175" s="35">
        <v>206.76</v>
      </c>
      <c r="AH175" s="35">
        <v>62.15</v>
      </c>
      <c r="AI175" s="96">
        <v>17633.939999999999</v>
      </c>
      <c r="AJ175" s="126">
        <v>1215.68</v>
      </c>
      <c r="AK175" s="69">
        <v>37722.47</v>
      </c>
      <c r="AL175" s="36">
        <v>4570.32</v>
      </c>
      <c r="AM175" s="36">
        <v>5074.92</v>
      </c>
      <c r="AN175" s="35">
        <v>343.55</v>
      </c>
      <c r="AO175" s="36">
        <v>3684.92</v>
      </c>
      <c r="AP175" s="35">
        <v>478.9</v>
      </c>
      <c r="AQ175" s="35">
        <v>80.81</v>
      </c>
      <c r="AR175" s="35">
        <v>36.119999999999997</v>
      </c>
      <c r="AS175" s="36">
        <v>1859.45</v>
      </c>
      <c r="AT175" s="35">
        <v>169.89</v>
      </c>
      <c r="AU175" s="96">
        <v>48422.58</v>
      </c>
      <c r="AV175" s="126">
        <v>5598.78</v>
      </c>
      <c r="AW175" s="69">
        <v>8263.9</v>
      </c>
      <c r="AX175" s="35">
        <v>935.86</v>
      </c>
      <c r="AY175" s="36">
        <v>7554.74</v>
      </c>
      <c r="AZ175" s="35">
        <v>901.21</v>
      </c>
      <c r="BA175" s="36">
        <v>2665.42</v>
      </c>
      <c r="BB175" s="35">
        <v>407.55</v>
      </c>
      <c r="BC175" s="35">
        <v>54.57</v>
      </c>
      <c r="BD175" s="35">
        <v>14.55</v>
      </c>
      <c r="BE175" s="96">
        <v>18538.63</v>
      </c>
      <c r="BF175" s="126">
        <v>2259.17</v>
      </c>
      <c r="BG175" s="69">
        <v>25657.88</v>
      </c>
      <c r="BH175" s="171">
        <v>1421.33</v>
      </c>
      <c r="BI175" s="153">
        <v>126389.03</v>
      </c>
      <c r="BJ175" s="187">
        <v>14693.26</v>
      </c>
    </row>
    <row r="176" spans="1:62" x14ac:dyDescent="0.25">
      <c r="A176" s="280">
        <v>2564</v>
      </c>
      <c r="B176" s="277">
        <v>2021</v>
      </c>
      <c r="C176" s="45">
        <v>1</v>
      </c>
      <c r="D176" s="244">
        <v>169</v>
      </c>
      <c r="E176" s="73">
        <v>4861.9799999999996</v>
      </c>
      <c r="F176" s="70">
        <v>1169.28</v>
      </c>
      <c r="G176" s="45"/>
      <c r="H176" s="45"/>
      <c r="I176" s="45"/>
      <c r="J176" s="45"/>
      <c r="K176" s="71">
        <v>520.19000000000005</v>
      </c>
      <c r="L176" s="47">
        <v>156.19999999999999</v>
      </c>
      <c r="M176" s="46">
        <v>4551.33</v>
      </c>
      <c r="N176" s="46">
        <v>1498.25</v>
      </c>
      <c r="O176" s="100">
        <v>9933.51</v>
      </c>
      <c r="P176" s="130">
        <v>2823.74</v>
      </c>
      <c r="Q176" s="73">
        <v>2708.19</v>
      </c>
      <c r="R176" s="47">
        <v>541.04999999999995</v>
      </c>
      <c r="S176" s="47">
        <v>20.27</v>
      </c>
      <c r="T176" s="47">
        <v>16.71</v>
      </c>
      <c r="U176" s="47">
        <v>548.04</v>
      </c>
      <c r="V176" s="47">
        <v>128.66</v>
      </c>
      <c r="W176" s="47">
        <v>0</v>
      </c>
      <c r="X176" s="47">
        <v>0</v>
      </c>
      <c r="Y176" s="100">
        <v>3276.5</v>
      </c>
      <c r="Z176" s="142">
        <v>686.42</v>
      </c>
      <c r="AA176" s="73">
        <v>9245.85</v>
      </c>
      <c r="AB176" s="47">
        <v>336.24</v>
      </c>
      <c r="AC176" s="46">
        <v>3711.06</v>
      </c>
      <c r="AD176" s="47">
        <v>508.04</v>
      </c>
      <c r="AE176" s="46">
        <v>1279.3699999999999</v>
      </c>
      <c r="AF176" s="47">
        <v>119.69</v>
      </c>
      <c r="AG176" s="47">
        <v>217.91</v>
      </c>
      <c r="AH176" s="47">
        <v>68.05</v>
      </c>
      <c r="AI176" s="100">
        <v>14454.18</v>
      </c>
      <c r="AJ176" s="130">
        <v>1032.03</v>
      </c>
      <c r="AK176" s="73">
        <v>39019.26</v>
      </c>
      <c r="AL176" s="46">
        <v>4560.09</v>
      </c>
      <c r="AM176" s="46">
        <v>5070.47</v>
      </c>
      <c r="AN176" s="47">
        <v>337.49</v>
      </c>
      <c r="AO176" s="46">
        <v>3847.76</v>
      </c>
      <c r="AP176" s="47">
        <v>496.75</v>
      </c>
      <c r="AQ176" s="47">
        <v>57.9</v>
      </c>
      <c r="AR176" s="47">
        <v>26.97</v>
      </c>
      <c r="AS176" s="47">
        <v>976.4</v>
      </c>
      <c r="AT176" s="47">
        <v>92.37</v>
      </c>
      <c r="AU176" s="100">
        <v>48971.79</v>
      </c>
      <c r="AV176" s="130">
        <v>5513.66</v>
      </c>
      <c r="AW176" s="73">
        <v>8116.22</v>
      </c>
      <c r="AX176" s="47">
        <v>853.33</v>
      </c>
      <c r="AY176" s="46">
        <v>6348.76</v>
      </c>
      <c r="AZ176" s="47">
        <v>768.46</v>
      </c>
      <c r="BA176" s="46">
        <v>2457.39</v>
      </c>
      <c r="BB176" s="47">
        <v>362.61</v>
      </c>
      <c r="BC176" s="47">
        <v>48.55</v>
      </c>
      <c r="BD176" s="47">
        <v>15.07</v>
      </c>
      <c r="BE176" s="100">
        <v>16970.919999999998</v>
      </c>
      <c r="BF176" s="130">
        <v>1999.46</v>
      </c>
      <c r="BG176" s="73">
        <v>19231.11</v>
      </c>
      <c r="BH176" s="175">
        <v>1131.1400000000001</v>
      </c>
      <c r="BI176" s="157">
        <v>112838</v>
      </c>
      <c r="BJ176" s="191">
        <v>13186.45</v>
      </c>
    </row>
    <row r="177" spans="1:62" x14ac:dyDescent="0.25">
      <c r="A177" s="280"/>
      <c r="B177" s="278"/>
      <c r="C177" s="45">
        <v>2</v>
      </c>
      <c r="D177" s="244">
        <v>170</v>
      </c>
      <c r="E177" s="73">
        <v>5063.5600000000004</v>
      </c>
      <c r="F177" s="70">
        <v>1262.43</v>
      </c>
      <c r="G177" s="45"/>
      <c r="H177" s="45"/>
      <c r="I177" s="45"/>
      <c r="J177" s="45"/>
      <c r="K177" s="71">
        <v>382.06</v>
      </c>
      <c r="L177" s="47">
        <v>138.06</v>
      </c>
      <c r="M177" s="46">
        <v>4270.45</v>
      </c>
      <c r="N177" s="46">
        <v>1393.95</v>
      </c>
      <c r="O177" s="100">
        <v>9716.07</v>
      </c>
      <c r="P177" s="130">
        <v>2794.44</v>
      </c>
      <c r="Q177" s="73">
        <v>2525.19</v>
      </c>
      <c r="R177" s="47">
        <v>543.91</v>
      </c>
      <c r="S177" s="47">
        <v>14.04</v>
      </c>
      <c r="T177" s="47">
        <v>15.17</v>
      </c>
      <c r="U177" s="47">
        <v>613.38</v>
      </c>
      <c r="V177" s="47">
        <v>156.38</v>
      </c>
      <c r="W177" s="47">
        <v>0</v>
      </c>
      <c r="X177" s="47">
        <v>0</v>
      </c>
      <c r="Y177" s="100">
        <v>3152.61</v>
      </c>
      <c r="Z177" s="142">
        <v>715.46</v>
      </c>
      <c r="AA177" s="73">
        <v>10836.13</v>
      </c>
      <c r="AB177" s="47">
        <v>370.43</v>
      </c>
      <c r="AC177" s="46">
        <v>3999.25</v>
      </c>
      <c r="AD177" s="47">
        <v>475.62</v>
      </c>
      <c r="AE177" s="46">
        <v>1223.9000000000001</v>
      </c>
      <c r="AF177" s="47">
        <v>109.81</v>
      </c>
      <c r="AG177" s="47">
        <v>227.42</v>
      </c>
      <c r="AH177" s="47">
        <v>62.32</v>
      </c>
      <c r="AI177" s="100">
        <v>16286.7</v>
      </c>
      <c r="AJ177" s="130">
        <v>1018.17</v>
      </c>
      <c r="AK177" s="73">
        <v>37220.03</v>
      </c>
      <c r="AL177" s="46">
        <v>4372.7700000000004</v>
      </c>
      <c r="AM177" s="46">
        <v>5889.36</v>
      </c>
      <c r="AN177" s="47">
        <v>385.74</v>
      </c>
      <c r="AO177" s="46">
        <v>3308.89</v>
      </c>
      <c r="AP177" s="47">
        <v>446.62</v>
      </c>
      <c r="AQ177" s="47">
        <v>87.94</v>
      </c>
      <c r="AR177" s="47">
        <v>33.22</v>
      </c>
      <c r="AS177" s="47">
        <v>686.15</v>
      </c>
      <c r="AT177" s="47">
        <v>79.36</v>
      </c>
      <c r="AU177" s="100">
        <v>47192.36</v>
      </c>
      <c r="AV177" s="130">
        <v>5317.7</v>
      </c>
      <c r="AW177" s="73">
        <v>8326.7000000000007</v>
      </c>
      <c r="AX177" s="47">
        <v>870.4</v>
      </c>
      <c r="AY177" s="46">
        <v>6047.91</v>
      </c>
      <c r="AZ177" s="47">
        <v>748.71</v>
      </c>
      <c r="BA177" s="46">
        <v>1915.65</v>
      </c>
      <c r="BB177" s="47">
        <v>312.56</v>
      </c>
      <c r="BC177" s="47">
        <v>42.29</v>
      </c>
      <c r="BD177" s="47">
        <v>14.49</v>
      </c>
      <c r="BE177" s="100">
        <v>16332.55</v>
      </c>
      <c r="BF177" s="130">
        <v>1946.16</v>
      </c>
      <c r="BG177" s="73">
        <v>27366.62</v>
      </c>
      <c r="BH177" s="175">
        <v>1525.84</v>
      </c>
      <c r="BI177" s="157">
        <v>120046.92</v>
      </c>
      <c r="BJ177" s="191">
        <v>13317.76</v>
      </c>
    </row>
    <row r="178" spans="1:62" x14ac:dyDescent="0.25">
      <c r="A178" s="280"/>
      <c r="B178" s="278"/>
      <c r="C178" s="45">
        <v>3</v>
      </c>
      <c r="D178" s="244">
        <v>171</v>
      </c>
      <c r="E178" s="73">
        <v>6221.23</v>
      </c>
      <c r="F178" s="70">
        <v>1585.19</v>
      </c>
      <c r="G178" s="45"/>
      <c r="H178" s="45"/>
      <c r="I178" s="45"/>
      <c r="J178" s="45"/>
      <c r="K178" s="71">
        <v>792.48</v>
      </c>
      <c r="L178" s="47">
        <v>235.03</v>
      </c>
      <c r="M178" s="46">
        <v>5366.64</v>
      </c>
      <c r="N178" s="46">
        <v>1760.67</v>
      </c>
      <c r="O178" s="100">
        <v>12380.35</v>
      </c>
      <c r="P178" s="130">
        <v>3580.89</v>
      </c>
      <c r="Q178" s="73">
        <v>3091.96</v>
      </c>
      <c r="R178" s="47">
        <v>731.65</v>
      </c>
      <c r="S178" s="47">
        <v>22.24</v>
      </c>
      <c r="T178" s="47">
        <v>18.260000000000002</v>
      </c>
      <c r="U178" s="47">
        <v>653.84</v>
      </c>
      <c r="V178" s="47">
        <v>175.48</v>
      </c>
      <c r="W178" s="47">
        <v>0</v>
      </c>
      <c r="X178" s="47">
        <v>0</v>
      </c>
      <c r="Y178" s="100">
        <v>3768.04</v>
      </c>
      <c r="Z178" s="142">
        <v>925.39</v>
      </c>
      <c r="AA178" s="73">
        <v>13201.29</v>
      </c>
      <c r="AB178" s="47">
        <v>448.61</v>
      </c>
      <c r="AC178" s="46">
        <v>4727.3100000000004</v>
      </c>
      <c r="AD178" s="47">
        <v>593.54999999999995</v>
      </c>
      <c r="AE178" s="46">
        <v>2076.7399999999998</v>
      </c>
      <c r="AF178" s="47">
        <v>167.94</v>
      </c>
      <c r="AG178" s="47">
        <v>241.11</v>
      </c>
      <c r="AH178" s="47">
        <v>78.900000000000006</v>
      </c>
      <c r="AI178" s="100">
        <v>20246.45</v>
      </c>
      <c r="AJ178" s="130">
        <v>1289.01</v>
      </c>
      <c r="AK178" s="73">
        <v>44275.14</v>
      </c>
      <c r="AL178" s="46">
        <v>5244.88</v>
      </c>
      <c r="AM178" s="46">
        <v>6816.89</v>
      </c>
      <c r="AN178" s="47">
        <v>475.74</v>
      </c>
      <c r="AO178" s="46">
        <v>4911.3100000000004</v>
      </c>
      <c r="AP178" s="47">
        <v>685.71</v>
      </c>
      <c r="AQ178" s="47">
        <v>94.28</v>
      </c>
      <c r="AR178" s="47">
        <v>38.21</v>
      </c>
      <c r="AS178" s="46">
        <v>1027.74</v>
      </c>
      <c r="AT178" s="47">
        <v>107.25</v>
      </c>
      <c r="AU178" s="100">
        <v>57125.36</v>
      </c>
      <c r="AV178" s="130">
        <v>6551.79</v>
      </c>
      <c r="AW178" s="73">
        <v>11196.57</v>
      </c>
      <c r="AX178" s="46">
        <v>1226.6600000000001</v>
      </c>
      <c r="AY178" s="46">
        <v>6559.76</v>
      </c>
      <c r="AZ178" s="47">
        <v>803.72</v>
      </c>
      <c r="BA178" s="46">
        <v>2697.46</v>
      </c>
      <c r="BB178" s="47">
        <v>402.83</v>
      </c>
      <c r="BC178" s="47">
        <v>21.78</v>
      </c>
      <c r="BD178" s="47">
        <v>8.56</v>
      </c>
      <c r="BE178" s="100">
        <v>20475.580000000002</v>
      </c>
      <c r="BF178" s="130">
        <v>2441.77</v>
      </c>
      <c r="BG178" s="73">
        <v>31074.57</v>
      </c>
      <c r="BH178" s="175">
        <v>1747.68</v>
      </c>
      <c r="BI178" s="157">
        <v>145070.35</v>
      </c>
      <c r="BJ178" s="191">
        <v>16536.53</v>
      </c>
    </row>
    <row r="179" spans="1:62" x14ac:dyDescent="0.25">
      <c r="A179" s="280"/>
      <c r="B179" s="278"/>
      <c r="C179" s="45">
        <v>4</v>
      </c>
      <c r="D179" s="244">
        <v>172</v>
      </c>
      <c r="E179" s="73">
        <v>7383.41</v>
      </c>
      <c r="F179" s="70">
        <v>1833.17</v>
      </c>
      <c r="G179" s="45"/>
      <c r="H179" s="45"/>
      <c r="I179" s="45"/>
      <c r="J179" s="45"/>
      <c r="K179" s="71">
        <v>986.3</v>
      </c>
      <c r="L179" s="47">
        <v>296.58</v>
      </c>
      <c r="M179" s="46">
        <v>4742.0600000000004</v>
      </c>
      <c r="N179" s="46">
        <v>1607.57</v>
      </c>
      <c r="O179" s="100">
        <v>13111.77</v>
      </c>
      <c r="P179" s="130">
        <v>3737.33</v>
      </c>
      <c r="Q179" s="73">
        <v>2937.51</v>
      </c>
      <c r="R179" s="47">
        <v>740.88</v>
      </c>
      <c r="S179" s="47">
        <v>23.63</v>
      </c>
      <c r="T179" s="47">
        <v>23.39</v>
      </c>
      <c r="U179" s="47">
        <v>568.03</v>
      </c>
      <c r="V179" s="47">
        <v>157.02000000000001</v>
      </c>
      <c r="W179" s="47">
        <v>0</v>
      </c>
      <c r="X179" s="47">
        <v>0</v>
      </c>
      <c r="Y179" s="100">
        <v>3529.17</v>
      </c>
      <c r="Z179" s="142">
        <v>921.29</v>
      </c>
      <c r="AA179" s="73">
        <v>11611.95</v>
      </c>
      <c r="AB179" s="47">
        <v>395.06</v>
      </c>
      <c r="AC179" s="46">
        <v>3806.05</v>
      </c>
      <c r="AD179" s="47">
        <v>529.74</v>
      </c>
      <c r="AE179" s="46">
        <v>1501.83</v>
      </c>
      <c r="AF179" s="47">
        <v>127.93</v>
      </c>
      <c r="AG179" s="47">
        <v>214.98</v>
      </c>
      <c r="AH179" s="47">
        <v>74.28</v>
      </c>
      <c r="AI179" s="100">
        <v>17134.810000000001</v>
      </c>
      <c r="AJ179" s="130">
        <v>1127.01</v>
      </c>
      <c r="AK179" s="73">
        <v>33260.25</v>
      </c>
      <c r="AL179" s="46">
        <v>4157.8100000000004</v>
      </c>
      <c r="AM179" s="46">
        <v>6014.98</v>
      </c>
      <c r="AN179" s="47">
        <v>441.04</v>
      </c>
      <c r="AO179" s="46">
        <v>4586.08</v>
      </c>
      <c r="AP179" s="47">
        <v>566.30999999999995</v>
      </c>
      <c r="AQ179" s="47">
        <v>53.81</v>
      </c>
      <c r="AR179" s="47">
        <v>24.06</v>
      </c>
      <c r="AS179" s="47">
        <v>828.59</v>
      </c>
      <c r="AT179" s="47">
        <v>97.19</v>
      </c>
      <c r="AU179" s="100">
        <v>44743.71</v>
      </c>
      <c r="AV179" s="130">
        <v>5286.41</v>
      </c>
      <c r="AW179" s="73">
        <v>9267.39</v>
      </c>
      <c r="AX179" s="46">
        <v>1062.3900000000001</v>
      </c>
      <c r="AY179" s="46">
        <v>6662.49</v>
      </c>
      <c r="AZ179" s="47">
        <v>806.45</v>
      </c>
      <c r="BA179" s="46">
        <v>2830.11</v>
      </c>
      <c r="BB179" s="47">
        <v>409.5</v>
      </c>
      <c r="BC179" s="47">
        <v>29.73</v>
      </c>
      <c r="BD179" s="47">
        <v>10.52</v>
      </c>
      <c r="BE179" s="100">
        <v>18789.72</v>
      </c>
      <c r="BF179" s="130">
        <v>2288.87</v>
      </c>
      <c r="BG179" s="73">
        <v>26778.99</v>
      </c>
      <c r="BH179" s="175">
        <v>1531.07</v>
      </c>
      <c r="BI179" s="157">
        <v>124088.17</v>
      </c>
      <c r="BJ179" s="191">
        <v>14891.98</v>
      </c>
    </row>
    <row r="180" spans="1:62" x14ac:dyDescent="0.25">
      <c r="A180" s="280"/>
      <c r="B180" s="278"/>
      <c r="C180" s="45">
        <v>5</v>
      </c>
      <c r="D180" s="244">
        <v>173</v>
      </c>
      <c r="E180" s="73">
        <v>7395.52</v>
      </c>
      <c r="F180" s="70">
        <v>1896.07</v>
      </c>
      <c r="G180" s="72"/>
      <c r="H180" s="72"/>
      <c r="I180" s="72"/>
      <c r="J180" s="72"/>
      <c r="K180" s="73">
        <v>1087.03</v>
      </c>
      <c r="L180" s="47">
        <v>312.43</v>
      </c>
      <c r="M180" s="46">
        <v>4666</v>
      </c>
      <c r="N180" s="46">
        <v>1609.57</v>
      </c>
      <c r="O180" s="100">
        <v>13148.55</v>
      </c>
      <c r="P180" s="130">
        <v>3818.07</v>
      </c>
      <c r="Q180" s="73">
        <v>3053.76</v>
      </c>
      <c r="R180" s="47">
        <v>747.8</v>
      </c>
      <c r="S180" s="47">
        <v>19.16</v>
      </c>
      <c r="T180" s="47">
        <v>21.96</v>
      </c>
      <c r="U180" s="47">
        <v>568.94000000000005</v>
      </c>
      <c r="V180" s="47">
        <v>156.80000000000001</v>
      </c>
      <c r="W180" s="47">
        <v>2.94</v>
      </c>
      <c r="X180" s="47">
        <v>2.52</v>
      </c>
      <c r="Y180" s="100">
        <v>3644.8</v>
      </c>
      <c r="Z180" s="142">
        <v>929.08</v>
      </c>
      <c r="AA180" s="73">
        <v>12940.7</v>
      </c>
      <c r="AB180" s="47">
        <v>518.89</v>
      </c>
      <c r="AC180" s="46">
        <v>3492.38</v>
      </c>
      <c r="AD180" s="47">
        <v>511.35</v>
      </c>
      <c r="AE180" s="46">
        <v>1750.08</v>
      </c>
      <c r="AF180" s="47">
        <v>142.58000000000001</v>
      </c>
      <c r="AG180" s="47">
        <v>371.03</v>
      </c>
      <c r="AH180" s="47">
        <v>73.92</v>
      </c>
      <c r="AI180" s="100">
        <v>18554.18</v>
      </c>
      <c r="AJ180" s="130">
        <v>1246.74</v>
      </c>
      <c r="AK180" s="73">
        <v>30841.64</v>
      </c>
      <c r="AL180" s="46">
        <v>3891.66</v>
      </c>
      <c r="AM180" s="46">
        <v>5645.36</v>
      </c>
      <c r="AN180" s="47">
        <v>412.74</v>
      </c>
      <c r="AO180" s="46">
        <v>4164.8599999999997</v>
      </c>
      <c r="AP180" s="47">
        <v>569.16999999999996</v>
      </c>
      <c r="AQ180" s="47">
        <v>83.47</v>
      </c>
      <c r="AR180" s="47">
        <v>42.12</v>
      </c>
      <c r="AS180" s="47">
        <v>753.21</v>
      </c>
      <c r="AT180" s="47">
        <v>85.79</v>
      </c>
      <c r="AU180" s="100">
        <v>41488.54</v>
      </c>
      <c r="AV180" s="130">
        <v>5001.49</v>
      </c>
      <c r="AW180" s="73">
        <v>10073</v>
      </c>
      <c r="AX180" s="46">
        <v>1166.47</v>
      </c>
      <c r="AY180" s="46">
        <v>5625.86</v>
      </c>
      <c r="AZ180" s="47">
        <v>742.61</v>
      </c>
      <c r="BA180" s="46">
        <v>1995.24</v>
      </c>
      <c r="BB180" s="47">
        <v>308.42</v>
      </c>
      <c r="BC180" s="47">
        <v>32.1</v>
      </c>
      <c r="BD180" s="47">
        <v>13.1</v>
      </c>
      <c r="BE180" s="100">
        <v>17726.2</v>
      </c>
      <c r="BF180" s="130">
        <v>2230.59</v>
      </c>
      <c r="BG180" s="73">
        <v>29291.99</v>
      </c>
      <c r="BH180" s="175">
        <v>1644.53</v>
      </c>
      <c r="BI180" s="157">
        <v>123854.26</v>
      </c>
      <c r="BJ180" s="191">
        <v>14870.49</v>
      </c>
    </row>
    <row r="181" spans="1:62" x14ac:dyDescent="0.25">
      <c r="A181" s="280"/>
      <c r="B181" s="278"/>
      <c r="C181" s="45">
        <v>6</v>
      </c>
      <c r="D181" s="244">
        <v>174</v>
      </c>
      <c r="E181" s="73">
        <v>7678.63</v>
      </c>
      <c r="F181" s="70">
        <v>2243.46</v>
      </c>
      <c r="G181" s="72"/>
      <c r="H181" s="72"/>
      <c r="I181" s="72"/>
      <c r="J181" s="72"/>
      <c r="K181" s="71">
        <v>996.24</v>
      </c>
      <c r="L181" s="47">
        <v>307.44</v>
      </c>
      <c r="M181" s="46">
        <v>6294.93</v>
      </c>
      <c r="N181" s="46">
        <v>2104.7600000000002</v>
      </c>
      <c r="O181" s="100">
        <v>14969.8</v>
      </c>
      <c r="P181" s="130">
        <v>4655.66</v>
      </c>
      <c r="Q181" s="73">
        <v>3418.13</v>
      </c>
      <c r="R181" s="47">
        <v>874.62</v>
      </c>
      <c r="S181" s="47">
        <v>21.91</v>
      </c>
      <c r="T181" s="47">
        <v>14.45</v>
      </c>
      <c r="U181" s="47">
        <v>752.41</v>
      </c>
      <c r="V181" s="47">
        <v>215.83</v>
      </c>
      <c r="W181" s="47">
        <v>0</v>
      </c>
      <c r="X181" s="47">
        <v>0</v>
      </c>
      <c r="Y181" s="100">
        <v>4192.45</v>
      </c>
      <c r="Z181" s="130">
        <v>1104.8900000000001</v>
      </c>
      <c r="AA181" s="73">
        <v>15514.55</v>
      </c>
      <c r="AB181" s="47">
        <v>674.36</v>
      </c>
      <c r="AC181" s="46">
        <v>3690.12</v>
      </c>
      <c r="AD181" s="47">
        <v>554.48</v>
      </c>
      <c r="AE181" s="46">
        <v>2510.13</v>
      </c>
      <c r="AF181" s="47">
        <v>200.33</v>
      </c>
      <c r="AG181" s="47">
        <v>481.77</v>
      </c>
      <c r="AH181" s="47">
        <v>75.19</v>
      </c>
      <c r="AI181" s="100">
        <v>22196.57</v>
      </c>
      <c r="AJ181" s="130">
        <v>1504.37</v>
      </c>
      <c r="AK181" s="73">
        <v>37651.22</v>
      </c>
      <c r="AL181" s="46">
        <v>4591.1000000000004</v>
      </c>
      <c r="AM181" s="46">
        <v>4663.32</v>
      </c>
      <c r="AN181" s="47">
        <v>351.3</v>
      </c>
      <c r="AO181" s="46">
        <v>4491.68</v>
      </c>
      <c r="AP181" s="47">
        <v>647.23</v>
      </c>
      <c r="AQ181" s="47">
        <v>92.09</v>
      </c>
      <c r="AR181" s="47">
        <v>49.03</v>
      </c>
      <c r="AS181" s="46">
        <v>1032.3800000000001</v>
      </c>
      <c r="AT181" s="47">
        <v>114.75</v>
      </c>
      <c r="AU181" s="100">
        <v>47930.69</v>
      </c>
      <c r="AV181" s="130">
        <v>5753.41</v>
      </c>
      <c r="AW181" s="73">
        <v>10795.57</v>
      </c>
      <c r="AX181" s="46">
        <v>1284.1500000000001</v>
      </c>
      <c r="AY181" s="46">
        <v>5908.65</v>
      </c>
      <c r="AZ181" s="47">
        <v>774.24</v>
      </c>
      <c r="BA181" s="46">
        <v>2350.79</v>
      </c>
      <c r="BB181" s="47">
        <v>380.89</v>
      </c>
      <c r="BC181" s="47">
        <v>31.81</v>
      </c>
      <c r="BD181" s="47">
        <v>13.84</v>
      </c>
      <c r="BE181" s="100">
        <v>19086.82</v>
      </c>
      <c r="BF181" s="130">
        <v>2453.13</v>
      </c>
      <c r="BG181" s="73">
        <v>35042.519999999997</v>
      </c>
      <c r="BH181" s="175">
        <v>1975.5</v>
      </c>
      <c r="BI181" s="157">
        <v>143418.87</v>
      </c>
      <c r="BJ181" s="191">
        <v>17446.96</v>
      </c>
    </row>
    <row r="182" spans="1:62" x14ac:dyDescent="0.25">
      <c r="A182" s="280"/>
      <c r="B182" s="278"/>
      <c r="C182" s="45">
        <v>7</v>
      </c>
      <c r="D182" s="244">
        <v>175</v>
      </c>
      <c r="E182" s="73">
        <v>7119.66</v>
      </c>
      <c r="F182" s="70">
        <v>2042.36</v>
      </c>
      <c r="G182" s="72"/>
      <c r="H182" s="72"/>
      <c r="I182" s="72"/>
      <c r="J182" s="72"/>
      <c r="K182" s="71">
        <v>909.57</v>
      </c>
      <c r="L182" s="47">
        <v>266.18</v>
      </c>
      <c r="M182" s="46">
        <v>6456.57</v>
      </c>
      <c r="N182" s="46">
        <v>2237.11</v>
      </c>
      <c r="O182" s="100">
        <v>14485.8</v>
      </c>
      <c r="P182" s="130">
        <v>4545.66</v>
      </c>
      <c r="Q182" s="73">
        <v>2989.42</v>
      </c>
      <c r="R182" s="47">
        <v>752.43</v>
      </c>
      <c r="S182" s="47">
        <v>16.850000000000001</v>
      </c>
      <c r="T182" s="47">
        <v>15.46</v>
      </c>
      <c r="U182" s="47">
        <v>660</v>
      </c>
      <c r="V182" s="47">
        <v>165.69</v>
      </c>
      <c r="W182" s="47">
        <v>0</v>
      </c>
      <c r="X182" s="47">
        <v>0</v>
      </c>
      <c r="Y182" s="100">
        <v>3666.27</v>
      </c>
      <c r="Z182" s="142">
        <v>933.58</v>
      </c>
      <c r="AA182" s="73">
        <v>10786.96</v>
      </c>
      <c r="AB182" s="47">
        <v>406.72</v>
      </c>
      <c r="AC182" s="46">
        <v>3654.85</v>
      </c>
      <c r="AD182" s="47">
        <v>551.58000000000004</v>
      </c>
      <c r="AE182" s="46">
        <v>2541.71</v>
      </c>
      <c r="AF182" s="47">
        <v>206.76</v>
      </c>
      <c r="AG182" s="47">
        <v>316.33999999999997</v>
      </c>
      <c r="AH182" s="47">
        <v>65.5</v>
      </c>
      <c r="AI182" s="100">
        <v>17299.86</v>
      </c>
      <c r="AJ182" s="130">
        <v>1230.55</v>
      </c>
      <c r="AK182" s="73">
        <v>32743</v>
      </c>
      <c r="AL182" s="46">
        <v>4132.78</v>
      </c>
      <c r="AM182" s="46">
        <v>3359.42</v>
      </c>
      <c r="AN182" s="47">
        <v>260.31</v>
      </c>
      <c r="AO182" s="46">
        <v>3820.41</v>
      </c>
      <c r="AP182" s="47">
        <v>535.61</v>
      </c>
      <c r="AQ182" s="47">
        <v>86.49</v>
      </c>
      <c r="AR182" s="47">
        <v>47.58</v>
      </c>
      <c r="AS182" s="46">
        <v>1267.8800000000001</v>
      </c>
      <c r="AT182" s="47">
        <v>137.37</v>
      </c>
      <c r="AU182" s="100">
        <v>41277.199999999997</v>
      </c>
      <c r="AV182" s="130">
        <v>5113.6400000000003</v>
      </c>
      <c r="AW182" s="73">
        <v>9251.99</v>
      </c>
      <c r="AX182" s="46">
        <v>1035.5899999999999</v>
      </c>
      <c r="AY182" s="46">
        <v>6836.36</v>
      </c>
      <c r="AZ182" s="47">
        <v>866.54</v>
      </c>
      <c r="BA182" s="46">
        <v>1999.24</v>
      </c>
      <c r="BB182" s="47">
        <v>322.79000000000002</v>
      </c>
      <c r="BC182" s="47">
        <v>80.44</v>
      </c>
      <c r="BD182" s="47">
        <v>25.27</v>
      </c>
      <c r="BE182" s="100">
        <v>18168.03</v>
      </c>
      <c r="BF182" s="130">
        <v>2250.1799999999998</v>
      </c>
      <c r="BG182" s="73">
        <v>31378.35</v>
      </c>
      <c r="BH182" s="175">
        <v>1820.55</v>
      </c>
      <c r="BI182" s="157">
        <v>126275.52</v>
      </c>
      <c r="BJ182" s="191">
        <v>15894.17</v>
      </c>
    </row>
    <row r="183" spans="1:62" x14ac:dyDescent="0.25">
      <c r="A183" s="280"/>
      <c r="B183" s="278"/>
      <c r="C183" s="45">
        <v>8</v>
      </c>
      <c r="D183" s="244">
        <v>176</v>
      </c>
      <c r="E183" s="73">
        <v>7286.8</v>
      </c>
      <c r="F183" s="70">
        <v>1981.11</v>
      </c>
      <c r="G183" s="72"/>
      <c r="H183" s="72"/>
      <c r="I183" s="72"/>
      <c r="J183" s="72"/>
      <c r="K183" s="71">
        <v>875.31</v>
      </c>
      <c r="L183" s="47">
        <v>290.64</v>
      </c>
      <c r="M183" s="46">
        <v>5422.59</v>
      </c>
      <c r="N183" s="46">
        <v>1967.48</v>
      </c>
      <c r="O183" s="100">
        <v>13584.7</v>
      </c>
      <c r="P183" s="130">
        <v>4239.22</v>
      </c>
      <c r="Q183" s="73">
        <v>2380.61</v>
      </c>
      <c r="R183" s="47">
        <v>658.53</v>
      </c>
      <c r="S183" s="47">
        <v>13.5</v>
      </c>
      <c r="T183" s="47">
        <v>13.78</v>
      </c>
      <c r="U183" s="47">
        <v>462.23</v>
      </c>
      <c r="V183" s="47">
        <v>141.24</v>
      </c>
      <c r="W183" s="47">
        <v>0</v>
      </c>
      <c r="X183" s="47">
        <v>0</v>
      </c>
      <c r="Y183" s="100">
        <v>2856.34</v>
      </c>
      <c r="Z183" s="142">
        <v>813.56</v>
      </c>
      <c r="AA183" s="73">
        <v>11312.53</v>
      </c>
      <c r="AB183" s="47">
        <v>452.79</v>
      </c>
      <c r="AC183" s="46">
        <v>3501.63</v>
      </c>
      <c r="AD183" s="47">
        <v>535.9</v>
      </c>
      <c r="AE183" s="46">
        <v>2073.44</v>
      </c>
      <c r="AF183" s="47">
        <v>177.51</v>
      </c>
      <c r="AG183" s="47">
        <v>236.39</v>
      </c>
      <c r="AH183" s="47">
        <v>68.040000000000006</v>
      </c>
      <c r="AI183" s="100">
        <v>17123.98</v>
      </c>
      <c r="AJ183" s="130">
        <v>1234.23</v>
      </c>
      <c r="AK183" s="73">
        <v>34807.47</v>
      </c>
      <c r="AL183" s="46">
        <v>4611.3900000000003</v>
      </c>
      <c r="AM183" s="46">
        <v>5104.68</v>
      </c>
      <c r="AN183" s="47">
        <v>381.65</v>
      </c>
      <c r="AO183" s="46">
        <v>4973.88</v>
      </c>
      <c r="AP183" s="47">
        <v>601.66</v>
      </c>
      <c r="AQ183" s="47">
        <v>106.51</v>
      </c>
      <c r="AR183" s="47">
        <v>67.709999999999994</v>
      </c>
      <c r="AS183" s="47">
        <v>829.59</v>
      </c>
      <c r="AT183" s="47">
        <v>102.56</v>
      </c>
      <c r="AU183" s="100">
        <v>45822.12</v>
      </c>
      <c r="AV183" s="130">
        <v>5764.98</v>
      </c>
      <c r="AW183" s="73">
        <v>10189.41</v>
      </c>
      <c r="AX183" s="46">
        <v>1195.6199999999999</v>
      </c>
      <c r="AY183" s="46">
        <v>5738.58</v>
      </c>
      <c r="AZ183" s="47">
        <v>781.09</v>
      </c>
      <c r="BA183" s="46">
        <v>1927.91</v>
      </c>
      <c r="BB183" s="47">
        <v>319.33999999999997</v>
      </c>
      <c r="BC183" s="47">
        <v>80.489999999999995</v>
      </c>
      <c r="BD183" s="47">
        <v>12.89</v>
      </c>
      <c r="BE183" s="100">
        <v>17936.39</v>
      </c>
      <c r="BF183" s="130">
        <v>2308.9499999999998</v>
      </c>
      <c r="BG183" s="73">
        <v>26420.17</v>
      </c>
      <c r="BH183" s="175">
        <v>1663.85</v>
      </c>
      <c r="BI183" s="157">
        <v>123743.71</v>
      </c>
      <c r="BJ183" s="191">
        <v>16024.79</v>
      </c>
    </row>
    <row r="184" spans="1:62" x14ac:dyDescent="0.25">
      <c r="A184" s="280"/>
      <c r="B184" s="278"/>
      <c r="C184" s="45">
        <v>9</v>
      </c>
      <c r="D184" s="244">
        <v>177</v>
      </c>
      <c r="E184" s="73">
        <v>7948.49</v>
      </c>
      <c r="F184" s="70">
        <v>2524.31</v>
      </c>
      <c r="G184" s="72"/>
      <c r="H184" s="72"/>
      <c r="I184" s="72"/>
      <c r="J184" s="72"/>
      <c r="K184" s="71">
        <v>959.23</v>
      </c>
      <c r="L184" s="47">
        <v>338.18</v>
      </c>
      <c r="M184" s="46">
        <v>6605.35</v>
      </c>
      <c r="N184" s="46">
        <v>2400.83</v>
      </c>
      <c r="O184" s="100">
        <v>15513.07</v>
      </c>
      <c r="P184" s="130">
        <v>5263.32</v>
      </c>
      <c r="Q184" s="73">
        <v>2733.54</v>
      </c>
      <c r="R184" s="47">
        <v>721.81</v>
      </c>
      <c r="S184" s="47">
        <v>15.29</v>
      </c>
      <c r="T184" s="47">
        <v>20.51</v>
      </c>
      <c r="U184" s="47">
        <v>682</v>
      </c>
      <c r="V184" s="47">
        <v>199.36</v>
      </c>
      <c r="W184" s="47">
        <v>0</v>
      </c>
      <c r="X184" s="47">
        <v>0</v>
      </c>
      <c r="Y184" s="100">
        <v>3430.83</v>
      </c>
      <c r="Z184" s="142">
        <v>941.68</v>
      </c>
      <c r="AA184" s="73">
        <v>11095.53</v>
      </c>
      <c r="AB184" s="47">
        <v>449.03</v>
      </c>
      <c r="AC184" s="46">
        <v>5039.04</v>
      </c>
      <c r="AD184" s="47">
        <v>747.35</v>
      </c>
      <c r="AE184" s="46">
        <v>1848.84</v>
      </c>
      <c r="AF184" s="47">
        <v>171.99</v>
      </c>
      <c r="AG184" s="47">
        <v>213.76</v>
      </c>
      <c r="AH184" s="47">
        <v>69.69</v>
      </c>
      <c r="AI184" s="100">
        <v>18197.16</v>
      </c>
      <c r="AJ184" s="130">
        <v>1438.05</v>
      </c>
      <c r="AK184" s="73">
        <v>33139.129999999997</v>
      </c>
      <c r="AL184" s="46">
        <v>4379.37</v>
      </c>
      <c r="AM184" s="46">
        <v>5824.95</v>
      </c>
      <c r="AN184" s="47">
        <v>427.16</v>
      </c>
      <c r="AO184" s="46">
        <v>4815.09</v>
      </c>
      <c r="AP184" s="47">
        <v>610.74</v>
      </c>
      <c r="AQ184" s="47">
        <v>78.540000000000006</v>
      </c>
      <c r="AR184" s="47">
        <v>39.35</v>
      </c>
      <c r="AS184" s="47">
        <v>654.41999999999996</v>
      </c>
      <c r="AT184" s="47">
        <v>83.99</v>
      </c>
      <c r="AU184" s="100">
        <v>44512.12</v>
      </c>
      <c r="AV184" s="130">
        <v>5540.61</v>
      </c>
      <c r="AW184" s="73">
        <v>10454.24</v>
      </c>
      <c r="AX184" s="46">
        <v>1287.29</v>
      </c>
      <c r="AY184" s="46">
        <v>7058.26</v>
      </c>
      <c r="AZ184" s="47">
        <v>905.3</v>
      </c>
      <c r="BA184" s="46">
        <v>2061.5700000000002</v>
      </c>
      <c r="BB184" s="47">
        <v>372.28</v>
      </c>
      <c r="BC184" s="47">
        <v>47.3</v>
      </c>
      <c r="BD184" s="47">
        <v>16.440000000000001</v>
      </c>
      <c r="BE184" s="100">
        <v>19621.37</v>
      </c>
      <c r="BF184" s="130">
        <v>2581.31</v>
      </c>
      <c r="BG184" s="73">
        <v>25216.81</v>
      </c>
      <c r="BH184" s="175">
        <v>1798.71</v>
      </c>
      <c r="BI184" s="157">
        <v>126491.36</v>
      </c>
      <c r="BJ184" s="191">
        <v>17563.68</v>
      </c>
    </row>
    <row r="185" spans="1:62" x14ac:dyDescent="0.25">
      <c r="A185" s="280"/>
      <c r="B185" s="278"/>
      <c r="C185" s="45">
        <v>10</v>
      </c>
      <c r="D185" s="244">
        <v>178</v>
      </c>
      <c r="E185" s="73">
        <v>9040.9699999999993</v>
      </c>
      <c r="F185" s="70">
        <v>2976.26</v>
      </c>
      <c r="G185" s="72"/>
      <c r="H185" s="72"/>
      <c r="I185" s="72"/>
      <c r="J185" s="72"/>
      <c r="K185" s="73">
        <v>1077.08</v>
      </c>
      <c r="L185" s="47">
        <v>373.6</v>
      </c>
      <c r="M185" s="46">
        <v>5596.81</v>
      </c>
      <c r="N185" s="46">
        <v>2100.9899999999998</v>
      </c>
      <c r="O185" s="100">
        <v>15714.85</v>
      </c>
      <c r="P185" s="130">
        <v>5450.85</v>
      </c>
      <c r="Q185" s="73">
        <v>3078.15</v>
      </c>
      <c r="R185" s="47">
        <v>796.88</v>
      </c>
      <c r="S185" s="47">
        <v>8</v>
      </c>
      <c r="T185" s="47">
        <v>8.89</v>
      </c>
      <c r="U185" s="47">
        <v>552.62</v>
      </c>
      <c r="V185" s="47">
        <v>173.87</v>
      </c>
      <c r="W185" s="47">
        <v>1.5</v>
      </c>
      <c r="X185" s="47">
        <v>1.18</v>
      </c>
      <c r="Y185" s="100">
        <v>3640.27</v>
      </c>
      <c r="Z185" s="142">
        <v>980.82</v>
      </c>
      <c r="AA185" s="73">
        <v>11243.88</v>
      </c>
      <c r="AB185" s="47">
        <v>463.72</v>
      </c>
      <c r="AC185" s="46">
        <v>4550.99</v>
      </c>
      <c r="AD185" s="47">
        <v>753.67</v>
      </c>
      <c r="AE185" s="46">
        <v>1492.39</v>
      </c>
      <c r="AF185" s="47">
        <v>137.99</v>
      </c>
      <c r="AG185" s="47">
        <v>207.74</v>
      </c>
      <c r="AH185" s="47">
        <v>65.790000000000006</v>
      </c>
      <c r="AI185" s="100">
        <v>17495.009999999998</v>
      </c>
      <c r="AJ185" s="130">
        <v>1421.17</v>
      </c>
      <c r="AK185" s="73">
        <v>37628.43</v>
      </c>
      <c r="AL185" s="46">
        <v>5128.71</v>
      </c>
      <c r="AM185" s="46">
        <v>4696.84</v>
      </c>
      <c r="AN185" s="47">
        <v>373.39</v>
      </c>
      <c r="AO185" s="46">
        <v>3942.35</v>
      </c>
      <c r="AP185" s="47">
        <v>620.14</v>
      </c>
      <c r="AQ185" s="47">
        <v>102.61</v>
      </c>
      <c r="AR185" s="47">
        <v>73.040000000000006</v>
      </c>
      <c r="AS185" s="46">
        <v>1308.22</v>
      </c>
      <c r="AT185" s="47">
        <v>141.09</v>
      </c>
      <c r="AU185" s="100">
        <v>47678.45</v>
      </c>
      <c r="AV185" s="130">
        <v>6336.38</v>
      </c>
      <c r="AW185" s="73">
        <v>10457.34</v>
      </c>
      <c r="AX185" s="46">
        <v>1273.8599999999999</v>
      </c>
      <c r="AY185" s="46">
        <v>7980.86</v>
      </c>
      <c r="AZ185" s="46">
        <v>1047.25</v>
      </c>
      <c r="BA185" s="46">
        <v>1714.08</v>
      </c>
      <c r="BB185" s="47">
        <v>284.8</v>
      </c>
      <c r="BC185" s="47">
        <v>47.64</v>
      </c>
      <c r="BD185" s="47">
        <v>14.21</v>
      </c>
      <c r="BE185" s="100">
        <v>20199.919999999998</v>
      </c>
      <c r="BF185" s="130">
        <v>2620.12</v>
      </c>
      <c r="BG185" s="73">
        <v>28184.62</v>
      </c>
      <c r="BH185" s="175">
        <v>1819.45</v>
      </c>
      <c r="BI185" s="157">
        <v>132913.12</v>
      </c>
      <c r="BJ185" s="191">
        <v>18628.79</v>
      </c>
    </row>
    <row r="186" spans="1:62" x14ac:dyDescent="0.25">
      <c r="A186" s="280"/>
      <c r="B186" s="278"/>
      <c r="C186" s="45">
        <v>11</v>
      </c>
      <c r="D186" s="244">
        <v>179</v>
      </c>
      <c r="E186" s="73">
        <v>6547.62</v>
      </c>
      <c r="F186" s="70">
        <v>2104.73</v>
      </c>
      <c r="G186" s="72"/>
      <c r="H186" s="72"/>
      <c r="I186" s="72"/>
      <c r="J186" s="72"/>
      <c r="K186" s="71">
        <v>813.64</v>
      </c>
      <c r="L186" s="47">
        <v>297.08</v>
      </c>
      <c r="M186" s="46">
        <v>5627.53</v>
      </c>
      <c r="N186" s="46">
        <v>2152.0500000000002</v>
      </c>
      <c r="O186" s="100">
        <v>12988.79</v>
      </c>
      <c r="P186" s="130">
        <v>4553.87</v>
      </c>
      <c r="Q186" s="73">
        <v>2851.24</v>
      </c>
      <c r="R186" s="47">
        <v>687.99</v>
      </c>
      <c r="S186" s="47">
        <v>18.54</v>
      </c>
      <c r="T186" s="47">
        <v>14.14</v>
      </c>
      <c r="U186" s="47">
        <v>750.29</v>
      </c>
      <c r="V186" s="47">
        <v>237.55</v>
      </c>
      <c r="W186" s="47">
        <v>0</v>
      </c>
      <c r="X186" s="47">
        <v>0</v>
      </c>
      <c r="Y186" s="100">
        <v>3620.07</v>
      </c>
      <c r="Z186" s="142">
        <v>939.68</v>
      </c>
      <c r="AA186" s="73">
        <v>10997.5</v>
      </c>
      <c r="AB186" s="47">
        <v>406.81</v>
      </c>
      <c r="AC186" s="46">
        <v>4500.68</v>
      </c>
      <c r="AD186" s="47">
        <v>739.08</v>
      </c>
      <c r="AE186" s="46">
        <v>1827.42</v>
      </c>
      <c r="AF186" s="47">
        <v>165.98</v>
      </c>
      <c r="AG186" s="47">
        <v>213.2</v>
      </c>
      <c r="AH186" s="47">
        <v>67.75</v>
      </c>
      <c r="AI186" s="100">
        <v>17538.8</v>
      </c>
      <c r="AJ186" s="130">
        <v>1379.63</v>
      </c>
      <c r="AK186" s="73">
        <v>43773.120000000003</v>
      </c>
      <c r="AL186" s="46">
        <v>5801.39</v>
      </c>
      <c r="AM186" s="46">
        <v>3787.61</v>
      </c>
      <c r="AN186" s="47">
        <v>306.48</v>
      </c>
      <c r="AO186" s="46">
        <v>4106.0200000000004</v>
      </c>
      <c r="AP186" s="47">
        <v>602.41</v>
      </c>
      <c r="AQ186" s="47">
        <v>111.95</v>
      </c>
      <c r="AR186" s="47">
        <v>56.26</v>
      </c>
      <c r="AS186" s="47">
        <v>979.82</v>
      </c>
      <c r="AT186" s="47">
        <v>116.6</v>
      </c>
      <c r="AU186" s="100">
        <v>52758.53</v>
      </c>
      <c r="AV186" s="130">
        <v>6883.15</v>
      </c>
      <c r="AW186" s="73">
        <v>11558.72</v>
      </c>
      <c r="AX186" s="46">
        <v>1509.67</v>
      </c>
      <c r="AY186" s="46">
        <v>7821.91</v>
      </c>
      <c r="AZ186" s="46">
        <v>1052.4100000000001</v>
      </c>
      <c r="BA186" s="46">
        <v>2233.0100000000002</v>
      </c>
      <c r="BB186" s="47">
        <v>378.15</v>
      </c>
      <c r="BC186" s="47">
        <v>95.46</v>
      </c>
      <c r="BD186" s="47">
        <v>25.87</v>
      </c>
      <c r="BE186" s="100">
        <v>21709.08</v>
      </c>
      <c r="BF186" s="130">
        <v>2966.1</v>
      </c>
      <c r="BG186" s="73">
        <v>31547.279999999999</v>
      </c>
      <c r="BH186" s="175">
        <v>1948.53</v>
      </c>
      <c r="BI186" s="157">
        <v>140162.54999999999</v>
      </c>
      <c r="BJ186" s="191">
        <v>18670.96</v>
      </c>
    </row>
    <row r="187" spans="1:62" x14ac:dyDescent="0.25">
      <c r="A187" s="280"/>
      <c r="B187" s="279"/>
      <c r="C187" s="45">
        <v>12</v>
      </c>
      <c r="D187" s="244">
        <v>180</v>
      </c>
      <c r="E187" s="73">
        <v>6544.4</v>
      </c>
      <c r="F187" s="70">
        <v>2049.48</v>
      </c>
      <c r="G187" s="72"/>
      <c r="H187" s="72"/>
      <c r="I187" s="72"/>
      <c r="J187" s="72"/>
      <c r="K187" s="71">
        <v>597.17999999999995</v>
      </c>
      <c r="L187" s="47">
        <v>218.66</v>
      </c>
      <c r="M187" s="46">
        <v>5732.15</v>
      </c>
      <c r="N187" s="46">
        <v>2141.6799999999998</v>
      </c>
      <c r="O187" s="100">
        <v>12873.73</v>
      </c>
      <c r="P187" s="130">
        <v>4409.82</v>
      </c>
      <c r="Q187" s="73">
        <v>3136.7</v>
      </c>
      <c r="R187" s="47">
        <v>759.38</v>
      </c>
      <c r="S187" s="47">
        <v>11.08</v>
      </c>
      <c r="T187" s="47">
        <v>9.7799999999999994</v>
      </c>
      <c r="U187" s="47">
        <v>635.96</v>
      </c>
      <c r="V187" s="47">
        <v>208.24</v>
      </c>
      <c r="W187" s="47">
        <v>0</v>
      </c>
      <c r="X187" s="47">
        <v>0</v>
      </c>
      <c r="Y187" s="100">
        <v>3783.74</v>
      </c>
      <c r="Z187" s="142">
        <v>977.4</v>
      </c>
      <c r="AA187" s="73">
        <v>13152.93</v>
      </c>
      <c r="AB187" s="47">
        <v>495.93</v>
      </c>
      <c r="AC187" s="46">
        <v>4484.84</v>
      </c>
      <c r="AD187" s="47">
        <v>721.02</v>
      </c>
      <c r="AE187" s="46">
        <v>1236.04</v>
      </c>
      <c r="AF187" s="47">
        <v>130.27000000000001</v>
      </c>
      <c r="AG187" s="47">
        <v>210.6</v>
      </c>
      <c r="AH187" s="47">
        <v>60.82</v>
      </c>
      <c r="AI187" s="100">
        <v>19084.41</v>
      </c>
      <c r="AJ187" s="130">
        <v>1408.04</v>
      </c>
      <c r="AK187" s="73">
        <v>40892.26</v>
      </c>
      <c r="AL187" s="46">
        <v>5315.64</v>
      </c>
      <c r="AM187" s="46">
        <v>5262.18</v>
      </c>
      <c r="AN187" s="47">
        <v>420.61</v>
      </c>
      <c r="AO187" s="46">
        <v>4218.16</v>
      </c>
      <c r="AP187" s="47">
        <v>640.14</v>
      </c>
      <c r="AQ187" s="47">
        <v>115.74</v>
      </c>
      <c r="AR187" s="47">
        <v>66.900000000000006</v>
      </c>
      <c r="AS187" s="46">
        <v>1824.59</v>
      </c>
      <c r="AT187" s="47">
        <v>193.35</v>
      </c>
      <c r="AU187" s="100">
        <v>52312.93</v>
      </c>
      <c r="AV187" s="130">
        <v>6636.63</v>
      </c>
      <c r="AW187" s="73">
        <v>12526.08</v>
      </c>
      <c r="AX187" s="46">
        <v>1581.76</v>
      </c>
      <c r="AY187" s="46">
        <v>8099.47</v>
      </c>
      <c r="AZ187" s="46">
        <v>1084.6300000000001</v>
      </c>
      <c r="BA187" s="46">
        <v>1592.98</v>
      </c>
      <c r="BB187" s="47">
        <v>286.98</v>
      </c>
      <c r="BC187" s="47">
        <v>68.34</v>
      </c>
      <c r="BD187" s="47">
        <v>19.28</v>
      </c>
      <c r="BE187" s="100">
        <v>22286.86</v>
      </c>
      <c r="BF187" s="130">
        <v>2972.66</v>
      </c>
      <c r="BG187" s="73">
        <v>28262.84</v>
      </c>
      <c r="BH187" s="175">
        <v>1782.42</v>
      </c>
      <c r="BI187" s="157">
        <v>138604.51</v>
      </c>
      <c r="BJ187" s="191">
        <v>18186.98</v>
      </c>
    </row>
    <row r="188" spans="1:62" x14ac:dyDescent="0.25">
      <c r="A188" s="253">
        <v>2565</v>
      </c>
      <c r="B188" s="256">
        <v>2022</v>
      </c>
      <c r="C188" s="12">
        <v>1</v>
      </c>
      <c r="D188" s="238">
        <v>181</v>
      </c>
      <c r="E188" s="115">
        <v>5061.5</v>
      </c>
      <c r="F188" s="74">
        <v>1601.2</v>
      </c>
      <c r="G188" s="75"/>
      <c r="H188" s="75"/>
      <c r="I188" s="75"/>
      <c r="J188" s="75"/>
      <c r="K188" s="76">
        <v>200.37</v>
      </c>
      <c r="L188" s="14">
        <v>82.53</v>
      </c>
      <c r="M188" s="13">
        <v>4642.37</v>
      </c>
      <c r="N188" s="13">
        <v>1762.01</v>
      </c>
      <c r="O188" s="92">
        <v>9904.23</v>
      </c>
      <c r="P188" s="122">
        <v>3445.74</v>
      </c>
      <c r="Q188" s="115">
        <v>3330.31</v>
      </c>
      <c r="R188" s="14">
        <v>814.31</v>
      </c>
      <c r="S188" s="14">
        <v>7.96</v>
      </c>
      <c r="T188" s="14">
        <v>5.72</v>
      </c>
      <c r="U188" s="14">
        <v>734.26</v>
      </c>
      <c r="V188" s="14">
        <v>219.88</v>
      </c>
      <c r="W188" s="14">
        <v>0</v>
      </c>
      <c r="X188" s="14">
        <v>0</v>
      </c>
      <c r="Y188" s="92">
        <v>4072.53</v>
      </c>
      <c r="Z188" s="122">
        <v>1039.92</v>
      </c>
      <c r="AA188" s="115">
        <v>12409.81</v>
      </c>
      <c r="AB188" s="14">
        <v>511.05</v>
      </c>
      <c r="AC188" s="13">
        <v>3605.71</v>
      </c>
      <c r="AD188" s="14">
        <v>613.29999999999995</v>
      </c>
      <c r="AE188" s="13">
        <v>1237.6300000000001</v>
      </c>
      <c r="AF188" s="14">
        <v>110.07</v>
      </c>
      <c r="AG188" s="14">
        <v>218.29</v>
      </c>
      <c r="AH188" s="14">
        <v>72.430000000000007</v>
      </c>
      <c r="AI188" s="92">
        <v>17471.439999999999</v>
      </c>
      <c r="AJ188" s="122">
        <v>1306.8599999999999</v>
      </c>
      <c r="AK188" s="115">
        <v>35301.67</v>
      </c>
      <c r="AL188" s="13">
        <v>4715.2700000000004</v>
      </c>
      <c r="AM188" s="13">
        <v>4250.37</v>
      </c>
      <c r="AN188" s="14">
        <v>352.65</v>
      </c>
      <c r="AO188" s="13">
        <v>4298.87</v>
      </c>
      <c r="AP188" s="14">
        <v>664.22</v>
      </c>
      <c r="AQ188" s="14">
        <v>35.799999999999997</v>
      </c>
      <c r="AR188" s="14">
        <v>18.57</v>
      </c>
      <c r="AS188" s="14">
        <v>883.91</v>
      </c>
      <c r="AT188" s="14">
        <v>102.95</v>
      </c>
      <c r="AU188" s="92">
        <v>44770.61</v>
      </c>
      <c r="AV188" s="122">
        <v>5853.67</v>
      </c>
      <c r="AW188" s="115">
        <v>11139.86</v>
      </c>
      <c r="AX188" s="13">
        <v>1438.28</v>
      </c>
      <c r="AY188" s="13">
        <v>6228.77</v>
      </c>
      <c r="AZ188" s="14">
        <v>818.03</v>
      </c>
      <c r="BA188" s="13">
        <v>1574.97</v>
      </c>
      <c r="BB188" s="14">
        <v>264.33999999999997</v>
      </c>
      <c r="BC188" s="14">
        <v>45.25</v>
      </c>
      <c r="BD188" s="14">
        <v>14.35</v>
      </c>
      <c r="BE188" s="92">
        <v>18988.849999999999</v>
      </c>
      <c r="BF188" s="122">
        <v>2534.9899999999998</v>
      </c>
      <c r="BG188" s="115">
        <v>29304.41</v>
      </c>
      <c r="BH188" s="178">
        <v>1803.02</v>
      </c>
      <c r="BI188" s="149">
        <v>124512.07</v>
      </c>
      <c r="BJ188" s="183">
        <v>15984.2</v>
      </c>
    </row>
    <row r="189" spans="1:62" x14ac:dyDescent="0.25">
      <c r="A189" s="254"/>
      <c r="B189" s="257"/>
      <c r="C189" s="12">
        <v>2</v>
      </c>
      <c r="D189" s="238">
        <v>182</v>
      </c>
      <c r="E189" s="115">
        <v>4573.2700000000004</v>
      </c>
      <c r="F189" s="74">
        <v>1377.36</v>
      </c>
      <c r="G189" s="12"/>
      <c r="H189" s="12"/>
      <c r="I189" s="12"/>
      <c r="J189" s="12"/>
      <c r="K189" s="76">
        <v>288.68</v>
      </c>
      <c r="L189" s="14">
        <v>113.66</v>
      </c>
      <c r="M189" s="13">
        <v>5360.16</v>
      </c>
      <c r="N189" s="13">
        <v>2046.91</v>
      </c>
      <c r="O189" s="92">
        <v>10222.11</v>
      </c>
      <c r="P189" s="122">
        <v>3537.93</v>
      </c>
      <c r="Q189" s="115">
        <v>2931.3</v>
      </c>
      <c r="R189" s="14">
        <v>800.81</v>
      </c>
      <c r="S189" s="14">
        <v>11.01</v>
      </c>
      <c r="T189" s="14">
        <v>10.08</v>
      </c>
      <c r="U189" s="14">
        <v>562.61</v>
      </c>
      <c r="V189" s="14">
        <v>167.77</v>
      </c>
      <c r="W189" s="14">
        <v>0</v>
      </c>
      <c r="X189" s="14">
        <v>0</v>
      </c>
      <c r="Y189" s="92">
        <v>3504.91</v>
      </c>
      <c r="Z189" s="136">
        <v>978.66</v>
      </c>
      <c r="AA189" s="115">
        <v>11036.04</v>
      </c>
      <c r="AB189" s="14">
        <v>470.48</v>
      </c>
      <c r="AC189" s="13">
        <v>3777.11</v>
      </c>
      <c r="AD189" s="14">
        <v>634.98</v>
      </c>
      <c r="AE189" s="13">
        <v>1548.19</v>
      </c>
      <c r="AF189" s="14">
        <v>133.72</v>
      </c>
      <c r="AG189" s="14">
        <v>214.63</v>
      </c>
      <c r="AH189" s="14">
        <v>66.92</v>
      </c>
      <c r="AI189" s="92">
        <v>16575.96</v>
      </c>
      <c r="AJ189" s="122">
        <v>1306.0899999999999</v>
      </c>
      <c r="AK189" s="115">
        <v>40308.11</v>
      </c>
      <c r="AL189" s="13">
        <v>5401.81</v>
      </c>
      <c r="AM189" s="13">
        <v>3734.25</v>
      </c>
      <c r="AN189" s="14">
        <v>344.75</v>
      </c>
      <c r="AO189" s="13">
        <v>4512.8100000000004</v>
      </c>
      <c r="AP189" s="14">
        <v>718.51</v>
      </c>
      <c r="AQ189" s="14">
        <v>62.93</v>
      </c>
      <c r="AR189" s="14">
        <v>39.5</v>
      </c>
      <c r="AS189" s="14">
        <v>874.76</v>
      </c>
      <c r="AT189" s="14">
        <v>93.17</v>
      </c>
      <c r="AU189" s="92">
        <v>49492.86</v>
      </c>
      <c r="AV189" s="122">
        <v>6597.74</v>
      </c>
      <c r="AW189" s="115">
        <v>11893.38</v>
      </c>
      <c r="AX189" s="13">
        <v>1529.21</v>
      </c>
      <c r="AY189" s="13">
        <v>7111.34</v>
      </c>
      <c r="AZ189" s="14">
        <v>937.42</v>
      </c>
      <c r="BA189" s="13">
        <v>3328.31</v>
      </c>
      <c r="BB189" s="14">
        <v>587.21</v>
      </c>
      <c r="BC189" s="14">
        <v>71.97</v>
      </c>
      <c r="BD189" s="14">
        <v>28.22</v>
      </c>
      <c r="BE189" s="92">
        <v>22405</v>
      </c>
      <c r="BF189" s="122">
        <v>3082.06</v>
      </c>
      <c r="BG189" s="115">
        <v>34425.379999999997</v>
      </c>
      <c r="BH189" s="178">
        <v>2116.88</v>
      </c>
      <c r="BI189" s="149">
        <v>136626.22</v>
      </c>
      <c r="BJ189" s="183">
        <v>17619.38</v>
      </c>
    </row>
    <row r="190" spans="1:62" x14ac:dyDescent="0.25">
      <c r="A190" s="254"/>
      <c r="B190" s="257"/>
      <c r="C190" s="12">
        <v>3</v>
      </c>
      <c r="D190" s="238">
        <v>183</v>
      </c>
      <c r="E190" s="115">
        <v>6925.8</v>
      </c>
      <c r="F190" s="74">
        <v>2000.66</v>
      </c>
      <c r="G190" s="75"/>
      <c r="H190" s="75"/>
      <c r="I190" s="75"/>
      <c r="J190" s="75"/>
      <c r="K190" s="76">
        <v>310.93</v>
      </c>
      <c r="L190" s="14">
        <v>118.17</v>
      </c>
      <c r="M190" s="13">
        <v>5271.29</v>
      </c>
      <c r="N190" s="13">
        <v>1951.35</v>
      </c>
      <c r="O190" s="92">
        <v>12508.02</v>
      </c>
      <c r="P190" s="122">
        <v>4070.18</v>
      </c>
      <c r="Q190" s="115">
        <v>3592.66</v>
      </c>
      <c r="R190" s="14">
        <v>951.37</v>
      </c>
      <c r="S190" s="14">
        <v>64.61</v>
      </c>
      <c r="T190" s="14">
        <v>16.100000000000001</v>
      </c>
      <c r="U190" s="14">
        <v>668.3</v>
      </c>
      <c r="V190" s="14">
        <v>200.16</v>
      </c>
      <c r="W190" s="14">
        <v>0</v>
      </c>
      <c r="X190" s="14">
        <v>0</v>
      </c>
      <c r="Y190" s="92">
        <v>4325.57</v>
      </c>
      <c r="Z190" s="122">
        <v>1167.6400000000001</v>
      </c>
      <c r="AA190" s="115">
        <v>13929.01</v>
      </c>
      <c r="AB190" s="14">
        <v>571.16</v>
      </c>
      <c r="AC190" s="13">
        <v>4405.88</v>
      </c>
      <c r="AD190" s="14">
        <v>738.35</v>
      </c>
      <c r="AE190" s="13">
        <v>2102.63</v>
      </c>
      <c r="AF190" s="14">
        <v>157.26</v>
      </c>
      <c r="AG190" s="14">
        <v>233.13</v>
      </c>
      <c r="AH190" s="14">
        <v>82.38</v>
      </c>
      <c r="AI190" s="92">
        <v>20670.650000000001</v>
      </c>
      <c r="AJ190" s="122">
        <v>1549.16</v>
      </c>
      <c r="AK190" s="115">
        <v>44123.93</v>
      </c>
      <c r="AL190" s="13">
        <v>5930.1</v>
      </c>
      <c r="AM190" s="13">
        <v>4854.13</v>
      </c>
      <c r="AN190" s="14">
        <v>408.8</v>
      </c>
      <c r="AO190" s="13">
        <v>3915.36</v>
      </c>
      <c r="AP190" s="14">
        <v>570.91</v>
      </c>
      <c r="AQ190" s="14">
        <v>43.45</v>
      </c>
      <c r="AR190" s="14">
        <v>25.76</v>
      </c>
      <c r="AS190" s="13">
        <v>1084.33</v>
      </c>
      <c r="AT190" s="14">
        <v>117.9</v>
      </c>
      <c r="AU190" s="92">
        <v>54021.19</v>
      </c>
      <c r="AV190" s="122">
        <v>7053.47</v>
      </c>
      <c r="AW190" s="115">
        <v>13780.51</v>
      </c>
      <c r="AX190" s="13">
        <v>1784.92</v>
      </c>
      <c r="AY190" s="13">
        <v>6957.36</v>
      </c>
      <c r="AZ190" s="14">
        <v>952.52</v>
      </c>
      <c r="BA190" s="13">
        <v>2890.71</v>
      </c>
      <c r="BB190" s="14">
        <v>481.58</v>
      </c>
      <c r="BC190" s="14">
        <v>57.34</v>
      </c>
      <c r="BD190" s="14">
        <v>19.059999999999999</v>
      </c>
      <c r="BE190" s="92">
        <v>23685.919999999998</v>
      </c>
      <c r="BF190" s="122">
        <v>3238.08</v>
      </c>
      <c r="BG190" s="115">
        <v>37887.370000000003</v>
      </c>
      <c r="BH190" s="178">
        <v>2155.02</v>
      </c>
      <c r="BI190" s="149">
        <v>153098.72</v>
      </c>
      <c r="BJ190" s="183">
        <v>19233.55</v>
      </c>
    </row>
    <row r="191" spans="1:62" x14ac:dyDescent="0.25">
      <c r="A191" s="254"/>
      <c r="B191" s="257"/>
      <c r="C191" s="12">
        <v>4</v>
      </c>
      <c r="D191" s="238">
        <v>184</v>
      </c>
      <c r="E191" s="115">
        <v>6601.08</v>
      </c>
      <c r="F191" s="74">
        <v>1917.6</v>
      </c>
      <c r="G191" s="75"/>
      <c r="H191" s="75"/>
      <c r="I191" s="75"/>
      <c r="J191" s="75"/>
      <c r="K191" s="76">
        <v>166.4</v>
      </c>
      <c r="L191" s="14">
        <v>68.52</v>
      </c>
      <c r="M191" s="13">
        <v>5173.12</v>
      </c>
      <c r="N191" s="13">
        <v>2010.13</v>
      </c>
      <c r="O191" s="92">
        <v>11940.59</v>
      </c>
      <c r="P191" s="122">
        <v>3996.25</v>
      </c>
      <c r="Q191" s="115">
        <v>3464.98</v>
      </c>
      <c r="R191" s="14">
        <v>987.84</v>
      </c>
      <c r="S191" s="14">
        <v>15.21</v>
      </c>
      <c r="T191" s="14">
        <v>12.46</v>
      </c>
      <c r="U191" s="14">
        <v>509.01</v>
      </c>
      <c r="V191" s="14">
        <v>151.04</v>
      </c>
      <c r="W191" s="14">
        <v>0</v>
      </c>
      <c r="X191" s="14">
        <v>0</v>
      </c>
      <c r="Y191" s="92">
        <v>3989.2</v>
      </c>
      <c r="Z191" s="122">
        <v>1151.3399999999999</v>
      </c>
      <c r="AA191" s="115">
        <v>10877.41</v>
      </c>
      <c r="AB191" s="14">
        <v>444.63</v>
      </c>
      <c r="AC191" s="13">
        <v>3713.09</v>
      </c>
      <c r="AD191" s="14">
        <v>684.58</v>
      </c>
      <c r="AE191" s="13">
        <v>1992.2</v>
      </c>
      <c r="AF191" s="14">
        <v>150.55000000000001</v>
      </c>
      <c r="AG191" s="14">
        <v>194.93</v>
      </c>
      <c r="AH191" s="14">
        <v>67.67</v>
      </c>
      <c r="AI191" s="92">
        <v>16777.63</v>
      </c>
      <c r="AJ191" s="122">
        <v>1347.43</v>
      </c>
      <c r="AK191" s="115">
        <v>36317.51</v>
      </c>
      <c r="AL191" s="13">
        <v>5083.5600000000004</v>
      </c>
      <c r="AM191" s="13">
        <v>5431.43</v>
      </c>
      <c r="AN191" s="14">
        <v>448.04</v>
      </c>
      <c r="AO191" s="13">
        <v>3895.23</v>
      </c>
      <c r="AP191" s="14">
        <v>587.1</v>
      </c>
      <c r="AQ191" s="14">
        <v>34.44</v>
      </c>
      <c r="AR191" s="14">
        <v>21.97</v>
      </c>
      <c r="AS191" s="14">
        <v>930.01</v>
      </c>
      <c r="AT191" s="14">
        <v>113.56</v>
      </c>
      <c r="AU191" s="92">
        <v>46608.61</v>
      </c>
      <c r="AV191" s="122">
        <v>6254.24</v>
      </c>
      <c r="AW191" s="115">
        <v>12110.97</v>
      </c>
      <c r="AX191" s="13">
        <v>1529.14</v>
      </c>
      <c r="AY191" s="13">
        <v>6244.6</v>
      </c>
      <c r="AZ191" s="14">
        <v>873.45</v>
      </c>
      <c r="BA191" s="13">
        <v>2655.01</v>
      </c>
      <c r="BB191" s="14">
        <v>491.06</v>
      </c>
      <c r="BC191" s="14">
        <v>62.19</v>
      </c>
      <c r="BD191" s="14">
        <v>17.82</v>
      </c>
      <c r="BE191" s="92">
        <v>21072.76</v>
      </c>
      <c r="BF191" s="122">
        <v>2911.46</v>
      </c>
      <c r="BG191" s="115">
        <v>28567.5</v>
      </c>
      <c r="BH191" s="178">
        <v>1705.67</v>
      </c>
      <c r="BI191" s="149">
        <v>128956.29</v>
      </c>
      <c r="BJ191" s="183">
        <v>17366.38</v>
      </c>
    </row>
    <row r="192" spans="1:62" x14ac:dyDescent="0.25">
      <c r="A192" s="254"/>
      <c r="B192" s="257"/>
      <c r="C192" s="12">
        <v>5</v>
      </c>
      <c r="D192" s="238">
        <v>185</v>
      </c>
      <c r="E192" s="115">
        <v>7155.48</v>
      </c>
      <c r="F192" s="74">
        <v>2096.12</v>
      </c>
      <c r="G192" s="75"/>
      <c r="H192" s="75"/>
      <c r="I192" s="75"/>
      <c r="J192" s="75"/>
      <c r="K192" s="76">
        <v>150.97</v>
      </c>
      <c r="L192" s="14">
        <v>76.37</v>
      </c>
      <c r="M192" s="13">
        <v>5791.33</v>
      </c>
      <c r="N192" s="13">
        <v>2173.4</v>
      </c>
      <c r="O192" s="92">
        <v>13097.78</v>
      </c>
      <c r="P192" s="122">
        <v>4345.88</v>
      </c>
      <c r="Q192" s="115">
        <v>3335.27</v>
      </c>
      <c r="R192" s="14">
        <v>933.18</v>
      </c>
      <c r="S192" s="14">
        <v>11.85</v>
      </c>
      <c r="T192" s="14">
        <v>14.6</v>
      </c>
      <c r="U192" s="14">
        <v>495.26</v>
      </c>
      <c r="V192" s="14">
        <v>157.69999999999999</v>
      </c>
      <c r="W192" s="14">
        <v>0</v>
      </c>
      <c r="X192" s="14">
        <v>0</v>
      </c>
      <c r="Y192" s="92">
        <v>3842.38</v>
      </c>
      <c r="Z192" s="122">
        <v>1105.48</v>
      </c>
      <c r="AA192" s="115">
        <v>11230.94</v>
      </c>
      <c r="AB192" s="14">
        <v>547.24</v>
      </c>
      <c r="AC192" s="13">
        <v>3168.52</v>
      </c>
      <c r="AD192" s="14">
        <v>526.80999999999995</v>
      </c>
      <c r="AE192" s="14">
        <v>929.3</v>
      </c>
      <c r="AF192" s="14">
        <v>105.08</v>
      </c>
      <c r="AG192" s="14">
        <v>202.67</v>
      </c>
      <c r="AH192" s="14">
        <v>76.17</v>
      </c>
      <c r="AI192" s="92">
        <v>15531.43</v>
      </c>
      <c r="AJ192" s="122">
        <v>1255.3</v>
      </c>
      <c r="AK192" s="115">
        <v>43984.54</v>
      </c>
      <c r="AL192" s="13">
        <v>6402.73</v>
      </c>
      <c r="AM192" s="13">
        <v>4534.37</v>
      </c>
      <c r="AN192" s="14">
        <v>389.09</v>
      </c>
      <c r="AO192" s="13">
        <v>4300.43</v>
      </c>
      <c r="AP192" s="14">
        <v>667.59</v>
      </c>
      <c r="AQ192" s="14">
        <v>50.84</v>
      </c>
      <c r="AR192" s="14">
        <v>39.159999999999997</v>
      </c>
      <c r="AS192" s="14">
        <v>886.36</v>
      </c>
      <c r="AT192" s="14">
        <v>104.68</v>
      </c>
      <c r="AU192" s="92">
        <v>53756.54</v>
      </c>
      <c r="AV192" s="122">
        <v>7603.25</v>
      </c>
      <c r="AW192" s="115">
        <v>11923.17</v>
      </c>
      <c r="AX192" s="13">
        <v>1440.39</v>
      </c>
      <c r="AY192" s="13">
        <v>6275.67</v>
      </c>
      <c r="AZ192" s="14">
        <v>912.11</v>
      </c>
      <c r="BA192" s="13">
        <v>1874.87</v>
      </c>
      <c r="BB192" s="14">
        <v>353.84</v>
      </c>
      <c r="BC192" s="14">
        <v>61.62</v>
      </c>
      <c r="BD192" s="14">
        <v>17.850000000000001</v>
      </c>
      <c r="BE192" s="92">
        <v>20135.32</v>
      </c>
      <c r="BF192" s="122">
        <v>2724.19</v>
      </c>
      <c r="BG192" s="115">
        <v>28396.09</v>
      </c>
      <c r="BH192" s="178">
        <v>1697.89</v>
      </c>
      <c r="BI192" s="149">
        <v>134759.53</v>
      </c>
      <c r="BJ192" s="183">
        <v>18732</v>
      </c>
    </row>
    <row r="193" spans="1:62" x14ac:dyDescent="0.25">
      <c r="A193" s="254"/>
      <c r="B193" s="257"/>
      <c r="C193" s="12">
        <v>6</v>
      </c>
      <c r="D193" s="238">
        <v>186</v>
      </c>
      <c r="E193" s="115">
        <v>8749.57</v>
      </c>
      <c r="F193" s="74">
        <v>2432.0500000000002</v>
      </c>
      <c r="G193" s="12"/>
      <c r="H193" s="12"/>
      <c r="I193" s="12"/>
      <c r="J193" s="12"/>
      <c r="K193" s="76">
        <v>170.69</v>
      </c>
      <c r="L193" s="14">
        <v>81.12</v>
      </c>
      <c r="M193" s="13">
        <v>6248.37</v>
      </c>
      <c r="N193" s="13">
        <v>2366.4699999999998</v>
      </c>
      <c r="O193" s="92">
        <v>15168.63</v>
      </c>
      <c r="P193" s="122">
        <v>4879.6400000000003</v>
      </c>
      <c r="Q193" s="115">
        <v>3227.27</v>
      </c>
      <c r="R193" s="14">
        <v>927.43</v>
      </c>
      <c r="S193" s="14">
        <v>7.18</v>
      </c>
      <c r="T193" s="14">
        <v>8.11</v>
      </c>
      <c r="U193" s="14">
        <v>736.67</v>
      </c>
      <c r="V193" s="14">
        <v>235.66</v>
      </c>
      <c r="W193" s="14">
        <v>0</v>
      </c>
      <c r="X193" s="14">
        <v>0</v>
      </c>
      <c r="Y193" s="92">
        <v>3971.12</v>
      </c>
      <c r="Z193" s="122">
        <v>1171.2</v>
      </c>
      <c r="AA193" s="115">
        <v>11480.88</v>
      </c>
      <c r="AB193" s="14">
        <v>529.32000000000005</v>
      </c>
      <c r="AC193" s="13">
        <v>3933.85</v>
      </c>
      <c r="AD193" s="14">
        <v>678.4</v>
      </c>
      <c r="AE193" s="13">
        <v>1549.96</v>
      </c>
      <c r="AF193" s="14">
        <v>142.28</v>
      </c>
      <c r="AG193" s="14">
        <v>220.82</v>
      </c>
      <c r="AH193" s="14">
        <v>71.459999999999994</v>
      </c>
      <c r="AI193" s="92">
        <v>17185.509999999998</v>
      </c>
      <c r="AJ193" s="122">
        <v>1421.46</v>
      </c>
      <c r="AK193" s="115">
        <v>41987.55</v>
      </c>
      <c r="AL193" s="13">
        <v>6271.2</v>
      </c>
      <c r="AM193" s="13">
        <v>5510.5</v>
      </c>
      <c r="AN193" s="14">
        <v>470.96</v>
      </c>
      <c r="AO193" s="13">
        <v>3966.29</v>
      </c>
      <c r="AP193" s="14">
        <v>636.79999999999995</v>
      </c>
      <c r="AQ193" s="14">
        <v>74.97</v>
      </c>
      <c r="AR193" s="14">
        <v>55.24</v>
      </c>
      <c r="AS193" s="14">
        <v>959.75</v>
      </c>
      <c r="AT193" s="14">
        <v>108.5</v>
      </c>
      <c r="AU193" s="92">
        <v>52499.06</v>
      </c>
      <c r="AV193" s="122">
        <v>7542.7</v>
      </c>
      <c r="AW193" s="115">
        <v>11381.43</v>
      </c>
      <c r="AX193" s="13">
        <v>1557.9</v>
      </c>
      <c r="AY193" s="13">
        <v>6398.48</v>
      </c>
      <c r="AZ193" s="14">
        <v>959.06</v>
      </c>
      <c r="BA193" s="13">
        <v>2793.27</v>
      </c>
      <c r="BB193" s="14">
        <v>551.05999999999995</v>
      </c>
      <c r="BC193" s="14">
        <v>48.88</v>
      </c>
      <c r="BD193" s="14">
        <v>17.309999999999999</v>
      </c>
      <c r="BE193" s="92">
        <v>20622.060000000001</v>
      </c>
      <c r="BF193" s="122">
        <v>3085.33</v>
      </c>
      <c r="BG193" s="115">
        <v>29293.95</v>
      </c>
      <c r="BH193" s="178">
        <v>1882.61</v>
      </c>
      <c r="BI193" s="149">
        <v>138740.34</v>
      </c>
      <c r="BJ193" s="183">
        <v>19982.939999999999</v>
      </c>
    </row>
    <row r="194" spans="1:62" x14ac:dyDescent="0.25">
      <c r="A194" s="254"/>
      <c r="B194" s="257"/>
      <c r="C194" s="12">
        <v>7</v>
      </c>
      <c r="D194" s="238">
        <v>187</v>
      </c>
      <c r="E194" s="115">
        <v>7057.83</v>
      </c>
      <c r="F194" s="74">
        <v>2256.9499999999998</v>
      </c>
      <c r="G194" s="12"/>
      <c r="H194" s="12"/>
      <c r="I194" s="12"/>
      <c r="J194" s="12"/>
      <c r="K194" s="76">
        <v>193.77</v>
      </c>
      <c r="L194" s="14">
        <v>84.8</v>
      </c>
      <c r="M194" s="13">
        <v>4929.38</v>
      </c>
      <c r="N194" s="13">
        <v>2046.52</v>
      </c>
      <c r="O194" s="92">
        <v>12180.98</v>
      </c>
      <c r="P194" s="122">
        <v>4388.26</v>
      </c>
      <c r="Q194" s="115">
        <v>3007.66</v>
      </c>
      <c r="R194" s="14">
        <v>871.4</v>
      </c>
      <c r="S194" s="14">
        <v>60.02</v>
      </c>
      <c r="T194" s="14">
        <v>12.69</v>
      </c>
      <c r="U194" s="14">
        <v>593.54999999999995</v>
      </c>
      <c r="V194" s="14">
        <v>193.94</v>
      </c>
      <c r="W194" s="14">
        <v>0</v>
      </c>
      <c r="X194" s="14">
        <v>0</v>
      </c>
      <c r="Y194" s="92">
        <v>3661.23</v>
      </c>
      <c r="Z194" s="122">
        <v>1078.03</v>
      </c>
      <c r="AA194" s="115">
        <v>11357.85</v>
      </c>
      <c r="AB194" s="14">
        <v>559.4</v>
      </c>
      <c r="AC194" s="13">
        <v>4032.94</v>
      </c>
      <c r="AD194" s="14">
        <v>717.41</v>
      </c>
      <c r="AE194" s="13">
        <v>1795.63</v>
      </c>
      <c r="AF194" s="14">
        <v>149.97</v>
      </c>
      <c r="AG194" s="14">
        <v>217.57</v>
      </c>
      <c r="AH194" s="14">
        <v>63.33</v>
      </c>
      <c r="AI194" s="92">
        <v>17403.98</v>
      </c>
      <c r="AJ194" s="122">
        <v>1490.11</v>
      </c>
      <c r="AK194" s="115">
        <v>39604.94</v>
      </c>
      <c r="AL194" s="13">
        <v>6321.93</v>
      </c>
      <c r="AM194" s="13">
        <v>4968.66</v>
      </c>
      <c r="AN194" s="14">
        <v>448.78</v>
      </c>
      <c r="AO194" s="13">
        <v>3904.84</v>
      </c>
      <c r="AP194" s="14">
        <v>648.54</v>
      </c>
      <c r="AQ194" s="14">
        <v>57.28</v>
      </c>
      <c r="AR194" s="14">
        <v>40.94</v>
      </c>
      <c r="AS194" s="14">
        <v>900.54</v>
      </c>
      <c r="AT194" s="14">
        <v>119.54</v>
      </c>
      <c r="AU194" s="92">
        <v>49436.26</v>
      </c>
      <c r="AV194" s="122">
        <v>7579.74</v>
      </c>
      <c r="AW194" s="115">
        <v>10381.31</v>
      </c>
      <c r="AX194" s="13">
        <v>1438.57</v>
      </c>
      <c r="AY194" s="13">
        <v>6792.17</v>
      </c>
      <c r="AZ194" s="13">
        <v>1017.96</v>
      </c>
      <c r="BA194" s="13">
        <v>2712.35</v>
      </c>
      <c r="BB194" s="14">
        <v>553.57000000000005</v>
      </c>
      <c r="BC194" s="14">
        <v>33.78</v>
      </c>
      <c r="BD194" s="14">
        <v>13.97</v>
      </c>
      <c r="BE194" s="92">
        <v>19919.61</v>
      </c>
      <c r="BF194" s="122">
        <v>3024.08</v>
      </c>
      <c r="BG194" s="115">
        <v>30272.31</v>
      </c>
      <c r="BH194" s="178">
        <v>1888.57</v>
      </c>
      <c r="BI194" s="149">
        <v>132874.35999999999</v>
      </c>
      <c r="BJ194" s="183">
        <v>19448.78</v>
      </c>
    </row>
    <row r="195" spans="1:62" x14ac:dyDescent="0.25">
      <c r="A195" s="254"/>
      <c r="B195" s="257"/>
      <c r="C195" s="12">
        <v>8</v>
      </c>
      <c r="D195" s="238">
        <v>188</v>
      </c>
      <c r="E195" s="115">
        <v>7234.4</v>
      </c>
      <c r="F195" s="74">
        <v>2511.6</v>
      </c>
      <c r="G195" s="12"/>
      <c r="H195" s="12"/>
      <c r="I195" s="12"/>
      <c r="J195" s="12"/>
      <c r="K195" s="76">
        <v>256.57</v>
      </c>
      <c r="L195" s="14">
        <v>115.92</v>
      </c>
      <c r="M195" s="13">
        <v>5190.62</v>
      </c>
      <c r="N195" s="13">
        <v>2217.48</v>
      </c>
      <c r="O195" s="92">
        <v>12681.59</v>
      </c>
      <c r="P195" s="122">
        <v>4845</v>
      </c>
      <c r="Q195" s="115">
        <v>2820.75</v>
      </c>
      <c r="R195" s="14">
        <v>825.29</v>
      </c>
      <c r="S195" s="14">
        <v>55.17</v>
      </c>
      <c r="T195" s="14">
        <v>10.11</v>
      </c>
      <c r="U195" s="14">
        <v>573.15</v>
      </c>
      <c r="V195" s="14">
        <v>195.29</v>
      </c>
      <c r="W195" s="14">
        <v>0</v>
      </c>
      <c r="X195" s="14">
        <v>0</v>
      </c>
      <c r="Y195" s="92">
        <v>3449.06</v>
      </c>
      <c r="Z195" s="122">
        <v>1030.69</v>
      </c>
      <c r="AA195" s="115">
        <v>10031.299999999999</v>
      </c>
      <c r="AB195" s="14">
        <v>482.45</v>
      </c>
      <c r="AC195" s="13">
        <v>4668.4799999999996</v>
      </c>
      <c r="AD195" s="14">
        <v>823.42</v>
      </c>
      <c r="AE195" s="13">
        <v>1944.31</v>
      </c>
      <c r="AF195" s="14">
        <v>162.87</v>
      </c>
      <c r="AG195" s="14">
        <v>210.03</v>
      </c>
      <c r="AH195" s="14">
        <v>78.150000000000006</v>
      </c>
      <c r="AI195" s="92">
        <v>16854.12</v>
      </c>
      <c r="AJ195" s="122">
        <v>1546.89</v>
      </c>
      <c r="AK195" s="115">
        <v>41138.94</v>
      </c>
      <c r="AL195" s="13">
        <v>6835.02</v>
      </c>
      <c r="AM195" s="13">
        <v>4875.12</v>
      </c>
      <c r="AN195" s="14">
        <v>455.75</v>
      </c>
      <c r="AO195" s="13">
        <v>3657.54</v>
      </c>
      <c r="AP195" s="14">
        <v>613.89</v>
      </c>
      <c r="AQ195" s="14">
        <v>29.04</v>
      </c>
      <c r="AR195" s="14">
        <v>21.83</v>
      </c>
      <c r="AS195" s="13">
        <v>1106.79</v>
      </c>
      <c r="AT195" s="14">
        <v>139.63999999999999</v>
      </c>
      <c r="AU195" s="92">
        <v>50807.43</v>
      </c>
      <c r="AV195" s="122">
        <v>8066.12</v>
      </c>
      <c r="AW195" s="115">
        <v>11281.13</v>
      </c>
      <c r="AX195" s="13">
        <v>1607.48</v>
      </c>
      <c r="AY195" s="13">
        <v>6600.1</v>
      </c>
      <c r="AZ195" s="13">
        <v>1038.3499999999999</v>
      </c>
      <c r="BA195" s="13">
        <v>1926.93</v>
      </c>
      <c r="BB195" s="14">
        <v>407.21</v>
      </c>
      <c r="BC195" s="14">
        <v>56.59</v>
      </c>
      <c r="BD195" s="14">
        <v>23.62</v>
      </c>
      <c r="BE195" s="92">
        <v>19864.75</v>
      </c>
      <c r="BF195" s="122">
        <v>3076.66</v>
      </c>
      <c r="BG195" s="115">
        <v>30946.55</v>
      </c>
      <c r="BH195" s="178">
        <v>1937.96</v>
      </c>
      <c r="BI195" s="149">
        <v>134603.49</v>
      </c>
      <c r="BJ195" s="183">
        <v>20503.32</v>
      </c>
    </row>
    <row r="196" spans="1:62" x14ac:dyDescent="0.25">
      <c r="A196" s="254"/>
      <c r="B196" s="257"/>
      <c r="C196" s="12">
        <v>9</v>
      </c>
      <c r="D196" s="238">
        <v>189</v>
      </c>
      <c r="E196" s="115">
        <v>8086.06</v>
      </c>
      <c r="F196" s="74">
        <v>2898.06</v>
      </c>
      <c r="G196" s="12"/>
      <c r="H196" s="12"/>
      <c r="I196" s="12"/>
      <c r="J196" s="12"/>
      <c r="K196" s="76">
        <v>423.95</v>
      </c>
      <c r="L196" s="14">
        <v>200.51</v>
      </c>
      <c r="M196" s="13">
        <v>5960.76</v>
      </c>
      <c r="N196" s="13">
        <v>2477.5300000000002</v>
      </c>
      <c r="O196" s="92">
        <v>14470.77</v>
      </c>
      <c r="P196" s="122">
        <v>5576.1</v>
      </c>
      <c r="Q196" s="115">
        <v>3304.71</v>
      </c>
      <c r="R196" s="14">
        <v>979.91</v>
      </c>
      <c r="S196" s="14">
        <v>14.49</v>
      </c>
      <c r="T196" s="14">
        <v>20.16</v>
      </c>
      <c r="U196" s="14">
        <v>676.77</v>
      </c>
      <c r="V196" s="14">
        <v>223.01</v>
      </c>
      <c r="W196" s="14">
        <v>1.91</v>
      </c>
      <c r="X196" s="14">
        <v>2.0499999999999998</v>
      </c>
      <c r="Y196" s="92">
        <v>3997.89</v>
      </c>
      <c r="Z196" s="122">
        <v>1225.1300000000001</v>
      </c>
      <c r="AA196" s="115">
        <v>8665.4500000000007</v>
      </c>
      <c r="AB196" s="14">
        <v>383.2</v>
      </c>
      <c r="AC196" s="13">
        <v>4623.84</v>
      </c>
      <c r="AD196" s="14">
        <v>892.43</v>
      </c>
      <c r="AE196" s="13">
        <v>2287.5500000000002</v>
      </c>
      <c r="AF196" s="14">
        <v>166.33</v>
      </c>
      <c r="AG196" s="14">
        <v>205.75</v>
      </c>
      <c r="AH196" s="14">
        <v>77.069999999999993</v>
      </c>
      <c r="AI196" s="92">
        <v>15782.59</v>
      </c>
      <c r="AJ196" s="122">
        <v>1519.03</v>
      </c>
      <c r="AK196" s="115">
        <v>40719.870000000003</v>
      </c>
      <c r="AL196" s="13">
        <v>6675.09</v>
      </c>
      <c r="AM196" s="13">
        <v>4585.5</v>
      </c>
      <c r="AN196" s="14">
        <v>462.49</v>
      </c>
      <c r="AO196" s="13">
        <v>2997.95</v>
      </c>
      <c r="AP196" s="14">
        <v>500.54</v>
      </c>
      <c r="AQ196" s="14">
        <v>37.19</v>
      </c>
      <c r="AR196" s="14">
        <v>25.62</v>
      </c>
      <c r="AS196" s="14">
        <v>981.51</v>
      </c>
      <c r="AT196" s="14">
        <v>128.32</v>
      </c>
      <c r="AU196" s="92">
        <v>49322.02</v>
      </c>
      <c r="AV196" s="122">
        <v>7792.06</v>
      </c>
      <c r="AW196" s="115">
        <v>11050.81</v>
      </c>
      <c r="AX196" s="13">
        <v>1518.56</v>
      </c>
      <c r="AY196" s="13">
        <v>7659.07</v>
      </c>
      <c r="AZ196" s="13">
        <v>1176.49</v>
      </c>
      <c r="BA196" s="13">
        <v>2613.7399999999998</v>
      </c>
      <c r="BB196" s="14">
        <v>555.16999999999996</v>
      </c>
      <c r="BC196" s="14">
        <v>47.72</v>
      </c>
      <c r="BD196" s="14">
        <v>9.9</v>
      </c>
      <c r="BE196" s="92">
        <v>21371.34</v>
      </c>
      <c r="BF196" s="122">
        <v>3260.12</v>
      </c>
      <c r="BG196" s="115">
        <v>26990.26</v>
      </c>
      <c r="BH196" s="178">
        <v>1932.21</v>
      </c>
      <c r="BI196" s="149">
        <v>131934.85999999999</v>
      </c>
      <c r="BJ196" s="183">
        <v>21304.65</v>
      </c>
    </row>
    <row r="197" spans="1:62" x14ac:dyDescent="0.25">
      <c r="A197" s="254"/>
      <c r="B197" s="257"/>
      <c r="C197" s="12">
        <v>10</v>
      </c>
      <c r="D197" s="238">
        <v>190</v>
      </c>
      <c r="E197" s="115">
        <v>7809.3</v>
      </c>
      <c r="F197" s="74">
        <v>2787.11</v>
      </c>
      <c r="G197" s="12"/>
      <c r="H197" s="12"/>
      <c r="I197" s="12"/>
      <c r="J197" s="12"/>
      <c r="K197" s="76">
        <v>239.04</v>
      </c>
      <c r="L197" s="14">
        <v>123.62</v>
      </c>
      <c r="M197" s="13">
        <v>5335.01</v>
      </c>
      <c r="N197" s="13">
        <v>2154.38</v>
      </c>
      <c r="O197" s="92">
        <v>13383.35</v>
      </c>
      <c r="P197" s="122">
        <v>5065.1099999999997</v>
      </c>
      <c r="Q197" s="115">
        <v>2999.16</v>
      </c>
      <c r="R197" s="14">
        <v>873.39</v>
      </c>
      <c r="S197" s="14">
        <v>30.44</v>
      </c>
      <c r="T197" s="14">
        <v>5.48</v>
      </c>
      <c r="U197" s="14">
        <v>559.47</v>
      </c>
      <c r="V197" s="14">
        <v>187.26</v>
      </c>
      <c r="W197" s="14">
        <v>0</v>
      </c>
      <c r="X197" s="14">
        <v>0</v>
      </c>
      <c r="Y197" s="92">
        <v>3589.06</v>
      </c>
      <c r="Z197" s="122">
        <v>1066.1199999999999</v>
      </c>
      <c r="AA197" s="115">
        <v>7622.98</v>
      </c>
      <c r="AB197" s="14">
        <v>329.29</v>
      </c>
      <c r="AC197" s="13">
        <v>3608.73</v>
      </c>
      <c r="AD197" s="14">
        <v>676.02</v>
      </c>
      <c r="AE197" s="13">
        <v>1950.78</v>
      </c>
      <c r="AF197" s="14">
        <v>154.63999999999999</v>
      </c>
      <c r="AG197" s="14">
        <v>199.07</v>
      </c>
      <c r="AH197" s="14">
        <v>70.239999999999995</v>
      </c>
      <c r="AI197" s="92">
        <v>13381.56</v>
      </c>
      <c r="AJ197" s="122">
        <v>1230.19</v>
      </c>
      <c r="AK197" s="115">
        <v>35814.68</v>
      </c>
      <c r="AL197" s="13">
        <v>6032.12</v>
      </c>
      <c r="AM197" s="13">
        <v>4648.2700000000004</v>
      </c>
      <c r="AN197" s="14">
        <v>468.21</v>
      </c>
      <c r="AO197" s="13">
        <v>3511.21</v>
      </c>
      <c r="AP197" s="14">
        <v>553.98</v>
      </c>
      <c r="AQ197" s="14">
        <v>27.67</v>
      </c>
      <c r="AR197" s="14">
        <v>13.88</v>
      </c>
      <c r="AS197" s="13">
        <v>1224.8900000000001</v>
      </c>
      <c r="AT197" s="14">
        <v>158.52000000000001</v>
      </c>
      <c r="AU197" s="92">
        <v>45226.720000000001</v>
      </c>
      <c r="AV197" s="122">
        <v>7226.72</v>
      </c>
      <c r="AW197" s="115">
        <v>9605.8700000000008</v>
      </c>
      <c r="AX197" s="13">
        <v>1440.22</v>
      </c>
      <c r="AY197" s="13">
        <v>7603.8</v>
      </c>
      <c r="AZ197" s="13">
        <v>1193.6500000000001</v>
      </c>
      <c r="BA197" s="13">
        <v>2237.19</v>
      </c>
      <c r="BB197" s="14">
        <v>445.46</v>
      </c>
      <c r="BC197" s="14">
        <v>44.01</v>
      </c>
      <c r="BD197" s="14">
        <v>15.96</v>
      </c>
      <c r="BE197" s="92">
        <v>19490.87</v>
      </c>
      <c r="BF197" s="122">
        <v>3095.28</v>
      </c>
      <c r="BG197" s="115">
        <v>28198.12</v>
      </c>
      <c r="BH197" s="178">
        <v>1907.39</v>
      </c>
      <c r="BI197" s="149">
        <v>123269.68</v>
      </c>
      <c r="BJ197" s="183">
        <v>19590.810000000001</v>
      </c>
    </row>
    <row r="198" spans="1:62" x14ac:dyDescent="0.25">
      <c r="A198" s="254"/>
      <c r="B198" s="257"/>
      <c r="C198" s="12">
        <v>11</v>
      </c>
      <c r="D198" s="238">
        <v>191</v>
      </c>
      <c r="E198" s="115">
        <v>7074.08</v>
      </c>
      <c r="F198" s="74">
        <v>2575.31</v>
      </c>
      <c r="G198" s="12"/>
      <c r="H198" s="12"/>
      <c r="I198" s="12"/>
      <c r="J198" s="12"/>
      <c r="K198" s="76">
        <v>267.36</v>
      </c>
      <c r="L198" s="14">
        <v>127.96</v>
      </c>
      <c r="M198" s="13">
        <v>5104.04</v>
      </c>
      <c r="N198" s="13">
        <v>2159.66</v>
      </c>
      <c r="O198" s="92">
        <v>12445.48</v>
      </c>
      <c r="P198" s="122">
        <v>4862.93</v>
      </c>
      <c r="Q198" s="115">
        <v>2634.99</v>
      </c>
      <c r="R198" s="14">
        <v>726.67</v>
      </c>
      <c r="S198" s="14">
        <v>68.55</v>
      </c>
      <c r="T198" s="14">
        <v>28.46</v>
      </c>
      <c r="U198" s="14">
        <v>559.34</v>
      </c>
      <c r="V198" s="14">
        <v>194.67</v>
      </c>
      <c r="W198" s="14">
        <v>0</v>
      </c>
      <c r="X198" s="14">
        <v>0</v>
      </c>
      <c r="Y198" s="92">
        <v>3262.88</v>
      </c>
      <c r="Z198" s="136">
        <v>949.79</v>
      </c>
      <c r="AA198" s="115">
        <v>11076.65</v>
      </c>
      <c r="AB198" s="14">
        <v>573.63</v>
      </c>
      <c r="AC198" s="13">
        <v>3881.19</v>
      </c>
      <c r="AD198" s="14">
        <v>793.51</v>
      </c>
      <c r="AE198" s="13">
        <v>1924.14</v>
      </c>
      <c r="AF198" s="14">
        <v>168.67</v>
      </c>
      <c r="AG198" s="14">
        <v>232.95</v>
      </c>
      <c r="AH198" s="14">
        <v>81.180000000000007</v>
      </c>
      <c r="AI198" s="92">
        <v>17114.93</v>
      </c>
      <c r="AJ198" s="122">
        <v>1616.98</v>
      </c>
      <c r="AK198" s="115">
        <v>40102.589999999997</v>
      </c>
      <c r="AL198" s="13">
        <v>6888.1</v>
      </c>
      <c r="AM198" s="13">
        <v>3564.49</v>
      </c>
      <c r="AN198" s="14">
        <v>339.93</v>
      </c>
      <c r="AO198" s="13">
        <v>3073.27</v>
      </c>
      <c r="AP198" s="14">
        <v>572.66999999999996</v>
      </c>
      <c r="AQ198" s="14">
        <v>67.48</v>
      </c>
      <c r="AR198" s="14">
        <v>47.04</v>
      </c>
      <c r="AS198" s="13">
        <v>1187.9100000000001</v>
      </c>
      <c r="AT198" s="14">
        <v>187.69</v>
      </c>
      <c r="AU198" s="92">
        <v>47995.74</v>
      </c>
      <c r="AV198" s="122">
        <v>8035.43</v>
      </c>
      <c r="AW198" s="115">
        <v>9134.66</v>
      </c>
      <c r="AX198" s="13">
        <v>1308.5899999999999</v>
      </c>
      <c r="AY198" s="13">
        <v>6671.28</v>
      </c>
      <c r="AZ198" s="13">
        <v>1130.9100000000001</v>
      </c>
      <c r="BA198" s="13">
        <v>2253.52</v>
      </c>
      <c r="BB198" s="14">
        <v>509.83</v>
      </c>
      <c r="BC198" s="14">
        <v>40.53</v>
      </c>
      <c r="BD198" s="14">
        <v>19.21</v>
      </c>
      <c r="BE198" s="92">
        <v>18099.990000000002</v>
      </c>
      <c r="BF198" s="122">
        <v>2968.54</v>
      </c>
      <c r="BG198" s="115">
        <v>28462.71</v>
      </c>
      <c r="BH198" s="178">
        <v>1966.67</v>
      </c>
      <c r="BI198" s="149">
        <v>127381.72</v>
      </c>
      <c r="BJ198" s="183">
        <v>20400.349999999999</v>
      </c>
    </row>
    <row r="199" spans="1:62" x14ac:dyDescent="0.25">
      <c r="A199" s="255"/>
      <c r="B199" s="258"/>
      <c r="C199" s="12">
        <v>12</v>
      </c>
      <c r="D199" s="238">
        <v>192</v>
      </c>
      <c r="E199" s="115">
        <v>5428.07</v>
      </c>
      <c r="F199" s="74">
        <v>1838.13</v>
      </c>
      <c r="G199" s="12"/>
      <c r="H199" s="12"/>
      <c r="I199" s="12"/>
      <c r="J199" s="12"/>
      <c r="K199" s="76">
        <v>262.38</v>
      </c>
      <c r="L199" s="14">
        <v>127.76</v>
      </c>
      <c r="M199" s="13">
        <v>4010.96</v>
      </c>
      <c r="N199" s="13">
        <v>1624.45</v>
      </c>
      <c r="O199" s="92">
        <v>9701.41</v>
      </c>
      <c r="P199" s="122">
        <v>3590.33</v>
      </c>
      <c r="Q199" s="115">
        <v>3339.41</v>
      </c>
      <c r="R199" s="14">
        <v>882.38</v>
      </c>
      <c r="S199" s="14">
        <v>10.25</v>
      </c>
      <c r="T199" s="14">
        <v>8.67</v>
      </c>
      <c r="U199" s="14">
        <v>505.96</v>
      </c>
      <c r="V199" s="14">
        <v>148.19999999999999</v>
      </c>
      <c r="W199" s="14">
        <v>0.83</v>
      </c>
      <c r="X199" s="14">
        <v>0.89</v>
      </c>
      <c r="Y199" s="92">
        <v>3856.45</v>
      </c>
      <c r="Z199" s="122">
        <v>1040.1400000000001</v>
      </c>
      <c r="AA199" s="115">
        <v>8732.24</v>
      </c>
      <c r="AB199" s="14">
        <v>378.05</v>
      </c>
      <c r="AC199" s="13">
        <v>3316.19</v>
      </c>
      <c r="AD199" s="14">
        <v>671.84</v>
      </c>
      <c r="AE199" s="13">
        <v>1122.32</v>
      </c>
      <c r="AF199" s="14">
        <v>127.15</v>
      </c>
      <c r="AG199" s="14">
        <v>545.57000000000005</v>
      </c>
      <c r="AH199" s="14">
        <v>64.48</v>
      </c>
      <c r="AI199" s="92">
        <v>13716.32</v>
      </c>
      <c r="AJ199" s="122">
        <v>1241.52</v>
      </c>
      <c r="AK199" s="115">
        <v>44819.45</v>
      </c>
      <c r="AL199" s="13">
        <v>7073.05</v>
      </c>
      <c r="AM199" s="13">
        <v>4208.09</v>
      </c>
      <c r="AN199" s="14">
        <v>386.97</v>
      </c>
      <c r="AO199" s="13">
        <v>3071.48</v>
      </c>
      <c r="AP199" s="14">
        <v>505.53</v>
      </c>
      <c r="AQ199" s="14">
        <v>52.25</v>
      </c>
      <c r="AR199" s="14">
        <v>31.54</v>
      </c>
      <c r="AS199" s="13">
        <v>1152.42</v>
      </c>
      <c r="AT199" s="14">
        <v>147.18</v>
      </c>
      <c r="AU199" s="92">
        <v>53303.69</v>
      </c>
      <c r="AV199" s="122">
        <v>8144.26</v>
      </c>
      <c r="AW199" s="115">
        <v>10079.790000000001</v>
      </c>
      <c r="AX199" s="13">
        <v>1469.4</v>
      </c>
      <c r="AY199" s="13">
        <v>7047.91</v>
      </c>
      <c r="AZ199" s="13">
        <v>1067.0999999999999</v>
      </c>
      <c r="BA199" s="13">
        <v>2986.86</v>
      </c>
      <c r="BB199" s="14">
        <v>578.58000000000004</v>
      </c>
      <c r="BC199" s="14">
        <v>34.74</v>
      </c>
      <c r="BD199" s="14">
        <v>11.3</v>
      </c>
      <c r="BE199" s="92">
        <v>20149.29</v>
      </c>
      <c r="BF199" s="122">
        <v>3126.38</v>
      </c>
      <c r="BG199" s="115">
        <v>25191.11</v>
      </c>
      <c r="BH199" s="178">
        <v>1775.32</v>
      </c>
      <c r="BI199" s="149">
        <v>125918.28</v>
      </c>
      <c r="BJ199" s="183">
        <v>18917.96</v>
      </c>
    </row>
    <row r="200" spans="1:62" x14ac:dyDescent="0.25">
      <c r="A200" s="259">
        <v>2566</v>
      </c>
      <c r="B200" s="262">
        <v>2023</v>
      </c>
      <c r="C200" s="77">
        <v>1</v>
      </c>
      <c r="D200" s="246">
        <v>193</v>
      </c>
      <c r="E200" s="120">
        <v>3539.19</v>
      </c>
      <c r="F200" s="79">
        <v>1143.8399999999999</v>
      </c>
      <c r="G200" s="77"/>
      <c r="H200" s="77"/>
      <c r="I200" s="80">
        <v>0</v>
      </c>
      <c r="J200" s="81">
        <v>0</v>
      </c>
      <c r="K200" s="81">
        <v>67.48</v>
      </c>
      <c r="L200" s="81">
        <v>31.54</v>
      </c>
      <c r="M200" s="78">
        <v>3582.24</v>
      </c>
      <c r="N200" s="78">
        <v>1448.74</v>
      </c>
      <c r="O200" s="102">
        <v>7188.92</v>
      </c>
      <c r="P200" s="132">
        <v>2624.11</v>
      </c>
      <c r="Q200" s="120">
        <v>2643.12</v>
      </c>
      <c r="R200" s="81">
        <v>620.82000000000005</v>
      </c>
      <c r="S200" s="81">
        <v>1.3</v>
      </c>
      <c r="T200" s="81">
        <v>1.1000000000000001</v>
      </c>
      <c r="U200" s="81">
        <v>539.58000000000004</v>
      </c>
      <c r="V200" s="81">
        <v>153.94</v>
      </c>
      <c r="W200" s="81">
        <v>0</v>
      </c>
      <c r="X200" s="81">
        <v>0</v>
      </c>
      <c r="Y200" s="102">
        <v>3184</v>
      </c>
      <c r="Z200" s="144">
        <v>775.86</v>
      </c>
      <c r="AA200" s="120">
        <v>8761.14</v>
      </c>
      <c r="AB200" s="81">
        <v>343.37</v>
      </c>
      <c r="AC200" s="78">
        <v>2572.65</v>
      </c>
      <c r="AD200" s="81">
        <v>490.67</v>
      </c>
      <c r="AE200" s="78">
        <v>1621.07</v>
      </c>
      <c r="AF200" s="81">
        <v>137.33000000000001</v>
      </c>
      <c r="AG200" s="81">
        <v>197.46</v>
      </c>
      <c r="AH200" s="81">
        <v>64.06</v>
      </c>
      <c r="AI200" s="102">
        <v>13152.32</v>
      </c>
      <c r="AJ200" s="132">
        <v>1035.44</v>
      </c>
      <c r="AK200" s="120">
        <v>30975.599999999999</v>
      </c>
      <c r="AL200" s="78">
        <v>4879.72</v>
      </c>
      <c r="AM200" s="78">
        <v>4731.97</v>
      </c>
      <c r="AN200" s="81">
        <v>401.64</v>
      </c>
      <c r="AO200" s="78">
        <v>3307.75</v>
      </c>
      <c r="AP200" s="81">
        <v>515.29</v>
      </c>
      <c r="AQ200" s="81">
        <v>47.96</v>
      </c>
      <c r="AR200" s="81">
        <v>27.91</v>
      </c>
      <c r="AS200" s="81">
        <v>795.51</v>
      </c>
      <c r="AT200" s="81">
        <v>102.04</v>
      </c>
      <c r="AU200" s="102">
        <v>39858.800000000003</v>
      </c>
      <c r="AV200" s="132">
        <v>5926.6</v>
      </c>
      <c r="AW200" s="120">
        <v>6989.25</v>
      </c>
      <c r="AX200" s="81">
        <v>966.19</v>
      </c>
      <c r="AY200" s="78">
        <v>5610.33</v>
      </c>
      <c r="AZ200" s="81">
        <v>785.73</v>
      </c>
      <c r="BA200" s="78">
        <v>2451.67</v>
      </c>
      <c r="BB200" s="81">
        <v>493.6</v>
      </c>
      <c r="BC200" s="81">
        <v>41.54</v>
      </c>
      <c r="BD200" s="81">
        <v>16.34</v>
      </c>
      <c r="BE200" s="102">
        <v>15092.78</v>
      </c>
      <c r="BF200" s="132">
        <v>2261.86</v>
      </c>
      <c r="BG200" s="120">
        <v>24887.08</v>
      </c>
      <c r="BH200" s="179">
        <v>1607.3</v>
      </c>
      <c r="BI200" s="159">
        <v>103363.9</v>
      </c>
      <c r="BJ200" s="193">
        <v>14231.17</v>
      </c>
    </row>
    <row r="201" spans="1:62" x14ac:dyDescent="0.25">
      <c r="A201" s="260"/>
      <c r="B201" s="263"/>
      <c r="C201" s="77">
        <v>2</v>
      </c>
      <c r="D201" s="246">
        <v>194</v>
      </c>
      <c r="E201" s="120">
        <v>4894.75</v>
      </c>
      <c r="F201" s="79">
        <v>1567.74</v>
      </c>
      <c r="G201" s="77"/>
      <c r="H201" s="77"/>
      <c r="I201" s="80">
        <v>0</v>
      </c>
      <c r="J201" s="81">
        <v>0</v>
      </c>
      <c r="K201" s="81">
        <v>220.6</v>
      </c>
      <c r="L201" s="81">
        <v>84.65</v>
      </c>
      <c r="M201" s="78">
        <v>3463</v>
      </c>
      <c r="N201" s="78">
        <v>1296.71</v>
      </c>
      <c r="O201" s="102">
        <v>8578.34</v>
      </c>
      <c r="P201" s="132">
        <v>2949.1</v>
      </c>
      <c r="Q201" s="120">
        <v>2852.46</v>
      </c>
      <c r="R201" s="81">
        <v>740.59</v>
      </c>
      <c r="S201" s="81">
        <v>37.01</v>
      </c>
      <c r="T201" s="81">
        <v>15.21</v>
      </c>
      <c r="U201" s="81">
        <v>502.41</v>
      </c>
      <c r="V201" s="81">
        <v>146.27000000000001</v>
      </c>
      <c r="W201" s="81">
        <v>0</v>
      </c>
      <c r="X201" s="81">
        <v>0</v>
      </c>
      <c r="Y201" s="102">
        <v>3391.88</v>
      </c>
      <c r="Z201" s="144">
        <v>902.06</v>
      </c>
      <c r="AA201" s="120">
        <v>8927.59</v>
      </c>
      <c r="AB201" s="81">
        <v>341.98</v>
      </c>
      <c r="AC201" s="78">
        <v>3122.93</v>
      </c>
      <c r="AD201" s="81">
        <v>540.1</v>
      </c>
      <c r="AE201" s="78">
        <v>1417.21</v>
      </c>
      <c r="AF201" s="81">
        <v>136.35</v>
      </c>
      <c r="AG201" s="81">
        <v>217.44</v>
      </c>
      <c r="AH201" s="81">
        <v>71.36</v>
      </c>
      <c r="AI201" s="102">
        <v>13685.17</v>
      </c>
      <c r="AJ201" s="132">
        <v>1089.79</v>
      </c>
      <c r="AK201" s="120">
        <v>38209.550000000003</v>
      </c>
      <c r="AL201" s="78">
        <v>5606.69</v>
      </c>
      <c r="AM201" s="78">
        <v>3579.44</v>
      </c>
      <c r="AN201" s="81">
        <v>308.58</v>
      </c>
      <c r="AO201" s="78">
        <v>3099.39</v>
      </c>
      <c r="AP201" s="81">
        <v>482.06</v>
      </c>
      <c r="AQ201" s="81">
        <v>40.729999999999997</v>
      </c>
      <c r="AR201" s="81">
        <v>24.81</v>
      </c>
      <c r="AS201" s="78">
        <v>1111.3499999999999</v>
      </c>
      <c r="AT201" s="81">
        <v>131.13</v>
      </c>
      <c r="AU201" s="102">
        <v>46040.45</v>
      </c>
      <c r="AV201" s="132">
        <v>6553.28</v>
      </c>
      <c r="AW201" s="120">
        <v>7584.46</v>
      </c>
      <c r="AX201" s="78">
        <v>1039.1400000000001</v>
      </c>
      <c r="AY201" s="78">
        <v>6596.1</v>
      </c>
      <c r="AZ201" s="81">
        <v>929.32</v>
      </c>
      <c r="BA201" s="78">
        <v>2334.08</v>
      </c>
      <c r="BB201" s="81">
        <v>433.71</v>
      </c>
      <c r="BC201" s="81">
        <v>50.8</v>
      </c>
      <c r="BD201" s="81">
        <v>22.36</v>
      </c>
      <c r="BE201" s="102">
        <v>16565.439999999999</v>
      </c>
      <c r="BF201" s="132">
        <v>2424.52</v>
      </c>
      <c r="BG201" s="120">
        <v>29979.52</v>
      </c>
      <c r="BH201" s="179">
        <v>1872.12</v>
      </c>
      <c r="BI201" s="159">
        <v>118240.8</v>
      </c>
      <c r="BJ201" s="193">
        <v>15790.87</v>
      </c>
    </row>
    <row r="202" spans="1:62" x14ac:dyDescent="0.25">
      <c r="A202" s="260"/>
      <c r="B202" s="263"/>
      <c r="C202" s="77">
        <v>3</v>
      </c>
      <c r="D202" s="246">
        <v>195</v>
      </c>
      <c r="E202" s="120">
        <v>6629.05</v>
      </c>
      <c r="F202" s="79">
        <v>2071.4499999999998</v>
      </c>
      <c r="G202" s="77"/>
      <c r="H202" s="77"/>
      <c r="I202" s="80">
        <v>0</v>
      </c>
      <c r="J202" s="81">
        <v>0</v>
      </c>
      <c r="K202" s="81">
        <v>266.37</v>
      </c>
      <c r="L202" s="81">
        <v>108.32</v>
      </c>
      <c r="M202" s="78">
        <v>4317.9399999999996</v>
      </c>
      <c r="N202" s="78">
        <v>1702.25</v>
      </c>
      <c r="O202" s="102">
        <v>11213.35</v>
      </c>
      <c r="P202" s="132">
        <v>3882.03</v>
      </c>
      <c r="Q202" s="120">
        <v>4404.6000000000004</v>
      </c>
      <c r="R202" s="78">
        <v>1144.23</v>
      </c>
      <c r="S202" s="81">
        <v>9.44</v>
      </c>
      <c r="T202" s="81">
        <v>9.68</v>
      </c>
      <c r="U202" s="81">
        <v>531.63</v>
      </c>
      <c r="V202" s="81">
        <v>176.05</v>
      </c>
      <c r="W202" s="81">
        <v>0</v>
      </c>
      <c r="X202" s="81">
        <v>0</v>
      </c>
      <c r="Y202" s="102">
        <v>4945.67</v>
      </c>
      <c r="Z202" s="132">
        <v>1329.97</v>
      </c>
      <c r="AA202" s="120">
        <v>9370.32</v>
      </c>
      <c r="AB202" s="81">
        <v>349.19</v>
      </c>
      <c r="AC202" s="78">
        <v>3547.92</v>
      </c>
      <c r="AD202" s="81">
        <v>609.03</v>
      </c>
      <c r="AE202" s="78">
        <v>1195.1500000000001</v>
      </c>
      <c r="AF202" s="81">
        <v>120.72</v>
      </c>
      <c r="AG202" s="81">
        <v>198.9</v>
      </c>
      <c r="AH202" s="81">
        <v>80.58</v>
      </c>
      <c r="AI202" s="102">
        <v>14312.3</v>
      </c>
      <c r="AJ202" s="132">
        <v>1159.51</v>
      </c>
      <c r="AK202" s="120">
        <v>37693.660000000003</v>
      </c>
      <c r="AL202" s="78">
        <v>5828.9</v>
      </c>
      <c r="AM202" s="78">
        <v>5061.3900000000003</v>
      </c>
      <c r="AN202" s="81">
        <v>453.55</v>
      </c>
      <c r="AO202" s="78">
        <v>3369.27</v>
      </c>
      <c r="AP202" s="81">
        <v>581.47</v>
      </c>
      <c r="AQ202" s="81">
        <v>41.87</v>
      </c>
      <c r="AR202" s="81">
        <v>26.46</v>
      </c>
      <c r="AS202" s="78">
        <v>1000.89</v>
      </c>
      <c r="AT202" s="81">
        <v>121.96</v>
      </c>
      <c r="AU202" s="102">
        <v>47167.09</v>
      </c>
      <c r="AV202" s="132">
        <v>7012.34</v>
      </c>
      <c r="AW202" s="120">
        <v>7368.25</v>
      </c>
      <c r="AX202" s="78">
        <v>1078.74</v>
      </c>
      <c r="AY202" s="78">
        <v>7248.76</v>
      </c>
      <c r="AZ202" s="78">
        <v>1082.3900000000001</v>
      </c>
      <c r="BA202" s="78">
        <v>2927.91</v>
      </c>
      <c r="BB202" s="81">
        <v>512.77</v>
      </c>
      <c r="BC202" s="81">
        <v>38.65</v>
      </c>
      <c r="BD202" s="81">
        <v>11.33</v>
      </c>
      <c r="BE202" s="102">
        <v>17583.57</v>
      </c>
      <c r="BF202" s="132">
        <v>2685.24</v>
      </c>
      <c r="BG202" s="120">
        <v>35720.19</v>
      </c>
      <c r="BH202" s="179">
        <v>2278.7399999999998</v>
      </c>
      <c r="BI202" s="159">
        <v>130942.16</v>
      </c>
      <c r="BJ202" s="193">
        <v>18347.82</v>
      </c>
    </row>
    <row r="203" spans="1:62" x14ac:dyDescent="0.25">
      <c r="A203" s="260"/>
      <c r="B203" s="263"/>
      <c r="C203" s="77">
        <v>4</v>
      </c>
      <c r="D203" s="246">
        <v>196</v>
      </c>
      <c r="E203" s="120">
        <v>7241.75</v>
      </c>
      <c r="F203" s="79">
        <v>2273.27</v>
      </c>
      <c r="G203" s="82"/>
      <c r="H203" s="82"/>
      <c r="I203" s="80">
        <v>0.15</v>
      </c>
      <c r="J203" s="81">
        <v>0.02</v>
      </c>
      <c r="K203" s="81">
        <v>205.14</v>
      </c>
      <c r="L203" s="81">
        <v>91.38</v>
      </c>
      <c r="M203" s="78">
        <v>3394.38</v>
      </c>
      <c r="N203" s="78">
        <v>1317.4</v>
      </c>
      <c r="O203" s="102">
        <v>10841.41</v>
      </c>
      <c r="P203" s="132">
        <v>3682.07</v>
      </c>
      <c r="Q203" s="120">
        <v>3086.07</v>
      </c>
      <c r="R203" s="81">
        <v>859.22</v>
      </c>
      <c r="S203" s="81">
        <v>34.07</v>
      </c>
      <c r="T203" s="81">
        <v>11.6</v>
      </c>
      <c r="U203" s="81">
        <v>457.15</v>
      </c>
      <c r="V203" s="81">
        <v>144.86000000000001</v>
      </c>
      <c r="W203" s="81">
        <v>0</v>
      </c>
      <c r="X203" s="81">
        <v>0</v>
      </c>
      <c r="Y203" s="102">
        <v>3577.28</v>
      </c>
      <c r="Z203" s="132">
        <v>1015.68</v>
      </c>
      <c r="AA203" s="120">
        <v>6961.15</v>
      </c>
      <c r="AB203" s="81">
        <v>329.87</v>
      </c>
      <c r="AC203" s="78">
        <v>2775.95</v>
      </c>
      <c r="AD203" s="81">
        <v>483.72</v>
      </c>
      <c r="AE203" s="81">
        <v>976.58</v>
      </c>
      <c r="AF203" s="81">
        <v>91.55</v>
      </c>
      <c r="AG203" s="81">
        <v>229.46</v>
      </c>
      <c r="AH203" s="81">
        <v>86.56</v>
      </c>
      <c r="AI203" s="102">
        <v>10943.14</v>
      </c>
      <c r="AJ203" s="144">
        <v>991.7</v>
      </c>
      <c r="AK203" s="120">
        <v>28786.49</v>
      </c>
      <c r="AL203" s="78">
        <v>4534.82</v>
      </c>
      <c r="AM203" s="78">
        <v>4408.32</v>
      </c>
      <c r="AN203" s="81">
        <v>387.62</v>
      </c>
      <c r="AO203" s="78">
        <v>3072.48</v>
      </c>
      <c r="AP203" s="81">
        <v>452.29</v>
      </c>
      <c r="AQ203" s="81">
        <v>38.130000000000003</v>
      </c>
      <c r="AR203" s="81">
        <v>25.72</v>
      </c>
      <c r="AS203" s="78">
        <v>1156.53</v>
      </c>
      <c r="AT203" s="81">
        <v>127.11</v>
      </c>
      <c r="AU203" s="102">
        <v>37461.94</v>
      </c>
      <c r="AV203" s="132">
        <v>5527.55</v>
      </c>
      <c r="AW203" s="120">
        <v>5641.38</v>
      </c>
      <c r="AX203" s="81">
        <v>756.91</v>
      </c>
      <c r="AY203" s="78">
        <v>5593.1</v>
      </c>
      <c r="AZ203" s="81">
        <v>851.44</v>
      </c>
      <c r="BA203" s="78">
        <v>2383.69</v>
      </c>
      <c r="BB203" s="81">
        <v>445.11</v>
      </c>
      <c r="BC203" s="81">
        <v>28.6</v>
      </c>
      <c r="BD203" s="81">
        <v>9.4600000000000009</v>
      </c>
      <c r="BE203" s="102">
        <v>13646.77</v>
      </c>
      <c r="BF203" s="132">
        <v>2062.92</v>
      </c>
      <c r="BG203" s="120">
        <v>28670.5</v>
      </c>
      <c r="BH203" s="179">
        <v>1725.91</v>
      </c>
      <c r="BI203" s="159">
        <v>105141.04</v>
      </c>
      <c r="BJ203" s="193">
        <v>15005.84</v>
      </c>
    </row>
    <row r="204" spans="1:62" x14ac:dyDescent="0.25">
      <c r="A204" s="260"/>
      <c r="B204" s="263"/>
      <c r="C204" s="77">
        <v>5</v>
      </c>
      <c r="D204" s="246">
        <v>197</v>
      </c>
      <c r="E204" s="120">
        <v>7958.23</v>
      </c>
      <c r="F204" s="79">
        <v>2564.89</v>
      </c>
      <c r="G204" s="82"/>
      <c r="H204" s="82"/>
      <c r="I204" s="80">
        <v>0</v>
      </c>
      <c r="J204" s="81">
        <v>0</v>
      </c>
      <c r="K204" s="81">
        <v>311.56</v>
      </c>
      <c r="L204" s="81">
        <v>124.95</v>
      </c>
      <c r="M204" s="78">
        <v>4959.7</v>
      </c>
      <c r="N204" s="78">
        <v>1900.19</v>
      </c>
      <c r="O204" s="102">
        <v>13229.49</v>
      </c>
      <c r="P204" s="132">
        <v>4590.0200000000004</v>
      </c>
      <c r="Q204" s="120">
        <v>3731.06</v>
      </c>
      <c r="R204" s="81">
        <v>993.5</v>
      </c>
      <c r="S204" s="81">
        <v>12.69</v>
      </c>
      <c r="T204" s="81">
        <v>17</v>
      </c>
      <c r="U204" s="81">
        <v>596.64</v>
      </c>
      <c r="V204" s="81">
        <v>167.01</v>
      </c>
      <c r="W204" s="81">
        <v>0</v>
      </c>
      <c r="X204" s="81">
        <v>0</v>
      </c>
      <c r="Y204" s="102">
        <v>4340.3900000000003</v>
      </c>
      <c r="Z204" s="132">
        <v>1177.51</v>
      </c>
      <c r="AA204" s="120">
        <v>9670.16</v>
      </c>
      <c r="AB204" s="81">
        <v>446.06</v>
      </c>
      <c r="AC204" s="78">
        <v>2695.09</v>
      </c>
      <c r="AD204" s="81">
        <v>530.87</v>
      </c>
      <c r="AE204" s="78">
        <v>1740.3</v>
      </c>
      <c r="AF204" s="81">
        <v>163.83000000000001</v>
      </c>
      <c r="AG204" s="81">
        <v>246.36</v>
      </c>
      <c r="AH204" s="81">
        <v>81.66</v>
      </c>
      <c r="AI204" s="102">
        <v>14351.91</v>
      </c>
      <c r="AJ204" s="132">
        <v>1222.42</v>
      </c>
      <c r="AK204" s="120">
        <v>36273.47</v>
      </c>
      <c r="AL204" s="78">
        <v>5840.51</v>
      </c>
      <c r="AM204" s="78">
        <v>4326.9399999999996</v>
      </c>
      <c r="AN204" s="81">
        <v>395.32</v>
      </c>
      <c r="AO204" s="78">
        <v>3348.43</v>
      </c>
      <c r="AP204" s="81">
        <v>482.97</v>
      </c>
      <c r="AQ204" s="81">
        <v>46.92</v>
      </c>
      <c r="AR204" s="81">
        <v>22.96</v>
      </c>
      <c r="AS204" s="81">
        <v>750.12</v>
      </c>
      <c r="AT204" s="81">
        <v>103.61</v>
      </c>
      <c r="AU204" s="102">
        <v>44745.88</v>
      </c>
      <c r="AV204" s="132">
        <v>6845.36</v>
      </c>
      <c r="AW204" s="120">
        <v>7546.51</v>
      </c>
      <c r="AX204" s="78">
        <v>1043.4100000000001</v>
      </c>
      <c r="AY204" s="78">
        <v>6609.92</v>
      </c>
      <c r="AZ204" s="81">
        <v>972.19</v>
      </c>
      <c r="BA204" s="78">
        <v>3160.11</v>
      </c>
      <c r="BB204" s="81">
        <v>633.85</v>
      </c>
      <c r="BC204" s="81">
        <v>49.58</v>
      </c>
      <c r="BD204" s="81">
        <v>14.56</v>
      </c>
      <c r="BE204" s="102">
        <v>17366.12</v>
      </c>
      <c r="BF204" s="132">
        <v>2664.01</v>
      </c>
      <c r="BG204" s="120">
        <v>33325.03</v>
      </c>
      <c r="BH204" s="179">
        <v>2100.86</v>
      </c>
      <c r="BI204" s="159">
        <v>127358.82</v>
      </c>
      <c r="BJ204" s="193">
        <v>18600.18</v>
      </c>
    </row>
    <row r="205" spans="1:62" x14ac:dyDescent="0.25">
      <c r="A205" s="260"/>
      <c r="B205" s="263"/>
      <c r="C205" s="77">
        <v>6</v>
      </c>
      <c r="D205" s="246">
        <v>198</v>
      </c>
      <c r="E205" s="120">
        <v>7737.24</v>
      </c>
      <c r="F205" s="79">
        <v>2303.9899999999998</v>
      </c>
      <c r="G205" s="82"/>
      <c r="H205" s="82"/>
      <c r="I205" s="80">
        <v>0</v>
      </c>
      <c r="J205" s="81">
        <v>0</v>
      </c>
      <c r="K205" s="81">
        <v>325.63</v>
      </c>
      <c r="L205" s="81">
        <v>136.72999999999999</v>
      </c>
      <c r="M205" s="78">
        <v>4885.96</v>
      </c>
      <c r="N205" s="78">
        <v>1776.35</v>
      </c>
      <c r="O205" s="102">
        <v>12948.82</v>
      </c>
      <c r="P205" s="132">
        <v>4217.08</v>
      </c>
      <c r="Q205" s="120">
        <v>3272.87</v>
      </c>
      <c r="R205" s="81">
        <v>891.47</v>
      </c>
      <c r="S205" s="81">
        <v>11.79</v>
      </c>
      <c r="T205" s="81">
        <v>14.79</v>
      </c>
      <c r="U205" s="81">
        <v>550.12</v>
      </c>
      <c r="V205" s="81">
        <v>179.33</v>
      </c>
      <c r="W205" s="81">
        <v>2.1</v>
      </c>
      <c r="X205" s="81">
        <v>1.8</v>
      </c>
      <c r="Y205" s="102">
        <v>3836.88</v>
      </c>
      <c r="Z205" s="132">
        <v>1087.3900000000001</v>
      </c>
      <c r="AA205" s="120">
        <v>9094.02</v>
      </c>
      <c r="AB205" s="81">
        <v>455.13</v>
      </c>
      <c r="AC205" s="78">
        <v>3441.86</v>
      </c>
      <c r="AD205" s="81">
        <v>621.62</v>
      </c>
      <c r="AE205" s="81">
        <v>907.44</v>
      </c>
      <c r="AF205" s="81">
        <v>113.52</v>
      </c>
      <c r="AG205" s="81">
        <v>236.12</v>
      </c>
      <c r="AH205" s="81">
        <v>70.02</v>
      </c>
      <c r="AI205" s="102">
        <v>13679.45</v>
      </c>
      <c r="AJ205" s="132">
        <v>1260.29</v>
      </c>
      <c r="AK205" s="120">
        <v>31497.08</v>
      </c>
      <c r="AL205" s="78">
        <v>5130.3900000000003</v>
      </c>
      <c r="AM205" s="78">
        <v>5475.78</v>
      </c>
      <c r="AN205" s="81">
        <v>498.25</v>
      </c>
      <c r="AO205" s="78">
        <v>2975.38</v>
      </c>
      <c r="AP205" s="81">
        <v>456.24</v>
      </c>
      <c r="AQ205" s="81">
        <v>47.89</v>
      </c>
      <c r="AR205" s="81">
        <v>27.34</v>
      </c>
      <c r="AS205" s="78">
        <v>1240.8599999999999</v>
      </c>
      <c r="AT205" s="81">
        <v>148.6</v>
      </c>
      <c r="AU205" s="102">
        <v>41236.99</v>
      </c>
      <c r="AV205" s="132">
        <v>6260.81</v>
      </c>
      <c r="AW205" s="120">
        <v>10007.91</v>
      </c>
      <c r="AX205" s="78">
        <v>1437.74</v>
      </c>
      <c r="AY205" s="78">
        <v>6886.37</v>
      </c>
      <c r="AZ205" s="78">
        <v>1051.24</v>
      </c>
      <c r="BA205" s="78">
        <v>2166.77</v>
      </c>
      <c r="BB205" s="81">
        <v>450.25</v>
      </c>
      <c r="BC205" s="81">
        <v>45.47</v>
      </c>
      <c r="BD205" s="81">
        <v>18.649999999999999</v>
      </c>
      <c r="BE205" s="102">
        <v>19106.52</v>
      </c>
      <c r="BF205" s="132">
        <v>2957.87</v>
      </c>
      <c r="BG205" s="120">
        <v>31923.31</v>
      </c>
      <c r="BH205" s="179">
        <v>2052.88</v>
      </c>
      <c r="BI205" s="159">
        <v>122731.96</v>
      </c>
      <c r="BJ205" s="193">
        <v>17836.32</v>
      </c>
    </row>
    <row r="206" spans="1:62" x14ac:dyDescent="0.25">
      <c r="A206" s="260"/>
      <c r="B206" s="263"/>
      <c r="C206" s="77">
        <v>7</v>
      </c>
      <c r="D206" s="246">
        <v>199</v>
      </c>
      <c r="E206" s="120">
        <v>6480.4</v>
      </c>
      <c r="F206" s="79">
        <v>1842.63</v>
      </c>
      <c r="G206" s="82"/>
      <c r="H206" s="82"/>
      <c r="I206" s="80">
        <v>0</v>
      </c>
      <c r="J206" s="81">
        <v>0</v>
      </c>
      <c r="K206" s="81">
        <v>270.52</v>
      </c>
      <c r="L206" s="81">
        <v>102.21</v>
      </c>
      <c r="M206" s="78">
        <v>4873.78</v>
      </c>
      <c r="N206" s="78">
        <v>1787.11</v>
      </c>
      <c r="O206" s="102">
        <v>11624.71</v>
      </c>
      <c r="P206" s="132">
        <v>3731.95</v>
      </c>
      <c r="Q206" s="120">
        <v>2844.88</v>
      </c>
      <c r="R206" s="81">
        <v>743.15</v>
      </c>
      <c r="S206" s="81">
        <v>15.95</v>
      </c>
      <c r="T206" s="81">
        <v>19.38</v>
      </c>
      <c r="U206" s="81">
        <v>519.38</v>
      </c>
      <c r="V206" s="81">
        <v>159.27000000000001</v>
      </c>
      <c r="W206" s="81">
        <v>0</v>
      </c>
      <c r="X206" s="81">
        <v>0</v>
      </c>
      <c r="Y206" s="102">
        <v>3380.21</v>
      </c>
      <c r="Z206" s="144">
        <v>921.8</v>
      </c>
      <c r="AA206" s="120">
        <v>8827.8799999999992</v>
      </c>
      <c r="AB206" s="81">
        <v>417.83</v>
      </c>
      <c r="AC206" s="78">
        <v>3207.26</v>
      </c>
      <c r="AD206" s="81">
        <v>542.45000000000005</v>
      </c>
      <c r="AE206" s="78">
        <v>1514.71</v>
      </c>
      <c r="AF206" s="81">
        <v>146.77000000000001</v>
      </c>
      <c r="AG206" s="81">
        <v>201.42</v>
      </c>
      <c r="AH206" s="81">
        <v>74.78</v>
      </c>
      <c r="AI206" s="102">
        <v>13751.27</v>
      </c>
      <c r="AJ206" s="132">
        <v>1181.82</v>
      </c>
      <c r="AK206" s="120">
        <v>33120.6</v>
      </c>
      <c r="AL206" s="78">
        <v>5427.1</v>
      </c>
      <c r="AM206" s="78">
        <v>5009.08</v>
      </c>
      <c r="AN206" s="81">
        <v>453.65</v>
      </c>
      <c r="AO206" s="78">
        <v>2681.95</v>
      </c>
      <c r="AP206" s="81">
        <v>427.13</v>
      </c>
      <c r="AQ206" s="81">
        <v>56.28</v>
      </c>
      <c r="AR206" s="81">
        <v>35.28</v>
      </c>
      <c r="AS206" s="81">
        <v>701.54</v>
      </c>
      <c r="AT206" s="81">
        <v>107.74</v>
      </c>
      <c r="AU206" s="102">
        <v>41569.46</v>
      </c>
      <c r="AV206" s="132">
        <v>6450.91</v>
      </c>
      <c r="AW206" s="120">
        <v>9956.58</v>
      </c>
      <c r="AX206" s="78">
        <v>1510.92</v>
      </c>
      <c r="AY206" s="78">
        <v>7333.38</v>
      </c>
      <c r="AZ206" s="78">
        <v>1078.28</v>
      </c>
      <c r="BA206" s="78">
        <v>1355.42</v>
      </c>
      <c r="BB206" s="81">
        <v>263.95999999999998</v>
      </c>
      <c r="BC206" s="81">
        <v>50.82</v>
      </c>
      <c r="BD206" s="81">
        <v>14.69</v>
      </c>
      <c r="BE206" s="102">
        <v>18696.2</v>
      </c>
      <c r="BF206" s="132">
        <v>2867.84</v>
      </c>
      <c r="BG206" s="120">
        <v>38123.269999999997</v>
      </c>
      <c r="BH206" s="179">
        <v>2489.8000000000002</v>
      </c>
      <c r="BI206" s="159">
        <v>127145.11</v>
      </c>
      <c r="BJ206" s="193">
        <v>17644.12</v>
      </c>
    </row>
    <row r="207" spans="1:62" x14ac:dyDescent="0.25">
      <c r="A207" s="260"/>
      <c r="B207" s="263"/>
      <c r="C207" s="77">
        <v>8</v>
      </c>
      <c r="D207" s="246">
        <v>200</v>
      </c>
      <c r="E207" s="120">
        <v>7179.05</v>
      </c>
      <c r="F207" s="79">
        <v>1971.83</v>
      </c>
      <c r="G207" s="82"/>
      <c r="H207" s="82"/>
      <c r="I207" s="80">
        <v>0</v>
      </c>
      <c r="J207" s="81">
        <v>0</v>
      </c>
      <c r="K207" s="81">
        <v>320.44</v>
      </c>
      <c r="L207" s="81">
        <v>123.01</v>
      </c>
      <c r="M207" s="78">
        <v>5478.98</v>
      </c>
      <c r="N207" s="78">
        <v>1976.06</v>
      </c>
      <c r="O207" s="102">
        <v>12978.47</v>
      </c>
      <c r="P207" s="132">
        <v>4070.91</v>
      </c>
      <c r="Q207" s="120">
        <v>2331.4</v>
      </c>
      <c r="R207" s="81">
        <v>641.5</v>
      </c>
      <c r="S207" s="81">
        <v>4.3499999999999996</v>
      </c>
      <c r="T207" s="81">
        <v>3.28</v>
      </c>
      <c r="U207" s="81">
        <v>568.97</v>
      </c>
      <c r="V207" s="81">
        <v>184.03</v>
      </c>
      <c r="W207" s="81">
        <v>4.41</v>
      </c>
      <c r="X207" s="81">
        <v>1.32</v>
      </c>
      <c r="Y207" s="102">
        <v>2909.13</v>
      </c>
      <c r="Z207" s="144">
        <v>830.14</v>
      </c>
      <c r="AA207" s="120">
        <v>10056.85</v>
      </c>
      <c r="AB207" s="81">
        <v>497.95</v>
      </c>
      <c r="AC207" s="78">
        <v>3872.03</v>
      </c>
      <c r="AD207" s="81">
        <v>690.89</v>
      </c>
      <c r="AE207" s="78">
        <v>1277.6300000000001</v>
      </c>
      <c r="AF207" s="81">
        <v>108.15</v>
      </c>
      <c r="AG207" s="81">
        <v>148.61000000000001</v>
      </c>
      <c r="AH207" s="81">
        <v>68.52</v>
      </c>
      <c r="AI207" s="102">
        <v>15355.12</v>
      </c>
      <c r="AJ207" s="132">
        <v>1365.51</v>
      </c>
      <c r="AK207" s="120">
        <v>31662.84</v>
      </c>
      <c r="AL207" s="78">
        <v>5041.24</v>
      </c>
      <c r="AM207" s="78">
        <v>4589.43</v>
      </c>
      <c r="AN207" s="81">
        <v>433.66</v>
      </c>
      <c r="AO207" s="78">
        <v>2910.16</v>
      </c>
      <c r="AP207" s="81">
        <v>452.98</v>
      </c>
      <c r="AQ207" s="81">
        <v>42.95</v>
      </c>
      <c r="AR207" s="81">
        <v>25.71</v>
      </c>
      <c r="AS207" s="78">
        <v>1197.17</v>
      </c>
      <c r="AT207" s="81">
        <v>155.35</v>
      </c>
      <c r="AU207" s="102">
        <v>40402.54</v>
      </c>
      <c r="AV207" s="132">
        <v>6108.95</v>
      </c>
      <c r="AW207" s="120">
        <v>10783.36</v>
      </c>
      <c r="AX207" s="78">
        <v>1540.94</v>
      </c>
      <c r="AY207" s="78">
        <v>7332.41</v>
      </c>
      <c r="AZ207" s="78">
        <v>1150.8699999999999</v>
      </c>
      <c r="BA207" s="78">
        <v>3175.39</v>
      </c>
      <c r="BB207" s="81">
        <v>614.23</v>
      </c>
      <c r="BC207" s="81">
        <v>56.27</v>
      </c>
      <c r="BD207" s="81">
        <v>17.079999999999998</v>
      </c>
      <c r="BE207" s="102">
        <v>21347.42</v>
      </c>
      <c r="BF207" s="132">
        <v>3323.11</v>
      </c>
      <c r="BG207" s="120">
        <v>32476.04</v>
      </c>
      <c r="BH207" s="179">
        <v>2244.66</v>
      </c>
      <c r="BI207" s="159">
        <v>125468.73</v>
      </c>
      <c r="BJ207" s="193">
        <v>17943.28</v>
      </c>
    </row>
    <row r="208" spans="1:62" x14ac:dyDescent="0.25">
      <c r="A208" s="260"/>
      <c r="B208" s="263"/>
      <c r="C208" s="77">
        <v>9</v>
      </c>
      <c r="D208" s="246">
        <v>201</v>
      </c>
      <c r="E208" s="120">
        <v>7149.92</v>
      </c>
      <c r="F208" s="79">
        <v>2082.38</v>
      </c>
      <c r="G208" s="82"/>
      <c r="H208" s="82"/>
      <c r="I208" s="80">
        <v>0</v>
      </c>
      <c r="J208" s="81">
        <v>0</v>
      </c>
      <c r="K208" s="81">
        <v>606.77</v>
      </c>
      <c r="L208" s="81">
        <v>223.52</v>
      </c>
      <c r="M208" s="78">
        <v>5497.48</v>
      </c>
      <c r="N208" s="78">
        <v>1995.59</v>
      </c>
      <c r="O208" s="102">
        <v>13254.18</v>
      </c>
      <c r="P208" s="132">
        <v>4301.49</v>
      </c>
      <c r="Q208" s="120">
        <v>2589.9</v>
      </c>
      <c r="R208" s="81">
        <v>691.52</v>
      </c>
      <c r="S208" s="81">
        <v>6.95</v>
      </c>
      <c r="T208" s="81">
        <v>6.21</v>
      </c>
      <c r="U208" s="81">
        <v>387.59</v>
      </c>
      <c r="V208" s="81">
        <v>138.38</v>
      </c>
      <c r="W208" s="81">
        <v>0.5</v>
      </c>
      <c r="X208" s="81">
        <v>0.46</v>
      </c>
      <c r="Y208" s="102">
        <v>2984.94</v>
      </c>
      <c r="Z208" s="144">
        <v>836.56</v>
      </c>
      <c r="AA208" s="120">
        <v>9101.65</v>
      </c>
      <c r="AB208" s="81">
        <v>419.21</v>
      </c>
      <c r="AC208" s="78">
        <v>3481.65</v>
      </c>
      <c r="AD208" s="81">
        <v>619.30999999999995</v>
      </c>
      <c r="AE208" s="78">
        <v>2168.21</v>
      </c>
      <c r="AF208" s="81">
        <v>182.58</v>
      </c>
      <c r="AG208" s="81">
        <v>162.63999999999999</v>
      </c>
      <c r="AH208" s="81">
        <v>76.040000000000006</v>
      </c>
      <c r="AI208" s="102">
        <v>14914.15</v>
      </c>
      <c r="AJ208" s="132">
        <v>1297.1400000000001</v>
      </c>
      <c r="AK208" s="120">
        <v>34050.120000000003</v>
      </c>
      <c r="AL208" s="78">
        <v>5630.78</v>
      </c>
      <c r="AM208" s="78">
        <v>4021.92</v>
      </c>
      <c r="AN208" s="81">
        <v>360.84</v>
      </c>
      <c r="AO208" s="78">
        <v>3140.54</v>
      </c>
      <c r="AP208" s="81">
        <v>509.91</v>
      </c>
      <c r="AQ208" s="81">
        <v>40.79</v>
      </c>
      <c r="AR208" s="81">
        <v>28.32</v>
      </c>
      <c r="AS208" s="78">
        <v>1652.27</v>
      </c>
      <c r="AT208" s="81">
        <v>167.07</v>
      </c>
      <c r="AU208" s="102">
        <v>42905.64</v>
      </c>
      <c r="AV208" s="132">
        <v>6696.91</v>
      </c>
      <c r="AW208" s="120">
        <v>10821.1</v>
      </c>
      <c r="AX208" s="78">
        <v>1705.7</v>
      </c>
      <c r="AY208" s="78">
        <v>7727.94</v>
      </c>
      <c r="AZ208" s="78">
        <v>1162.9100000000001</v>
      </c>
      <c r="BA208" s="78">
        <v>2383.1799999999998</v>
      </c>
      <c r="BB208" s="81">
        <v>499.16</v>
      </c>
      <c r="BC208" s="81">
        <v>50.82</v>
      </c>
      <c r="BD208" s="81">
        <v>16.88</v>
      </c>
      <c r="BE208" s="102">
        <v>20983.040000000001</v>
      </c>
      <c r="BF208" s="132">
        <v>3384.64</v>
      </c>
      <c r="BG208" s="120">
        <v>34167.1</v>
      </c>
      <c r="BH208" s="179">
        <v>2394.17</v>
      </c>
      <c r="BI208" s="159">
        <v>129209.04</v>
      </c>
      <c r="BJ208" s="193">
        <v>18910.919999999998</v>
      </c>
    </row>
    <row r="209" spans="1:62" x14ac:dyDescent="0.25">
      <c r="A209" s="260"/>
      <c r="B209" s="263"/>
      <c r="C209" s="77">
        <v>10</v>
      </c>
      <c r="D209" s="246">
        <v>202</v>
      </c>
      <c r="E209" s="120">
        <v>7305.65</v>
      </c>
      <c r="F209" s="79">
        <v>2208.83</v>
      </c>
      <c r="G209" s="82"/>
      <c r="H209" s="82"/>
      <c r="I209" s="80">
        <v>0</v>
      </c>
      <c r="J209" s="81">
        <v>0</v>
      </c>
      <c r="K209" s="81">
        <v>372.33</v>
      </c>
      <c r="L209" s="81">
        <v>165.28</v>
      </c>
      <c r="M209" s="78">
        <v>4810.82</v>
      </c>
      <c r="N209" s="78">
        <v>1840.17</v>
      </c>
      <c r="O209" s="102">
        <v>12488.8</v>
      </c>
      <c r="P209" s="132">
        <v>4214.28</v>
      </c>
      <c r="Q209" s="120">
        <v>3557.2</v>
      </c>
      <c r="R209" s="81">
        <v>858.69</v>
      </c>
      <c r="S209" s="81">
        <v>12.44</v>
      </c>
      <c r="T209" s="81">
        <v>15.55</v>
      </c>
      <c r="U209" s="81">
        <v>579.28</v>
      </c>
      <c r="V209" s="81">
        <v>196.91</v>
      </c>
      <c r="W209" s="81">
        <v>0</v>
      </c>
      <c r="X209" s="81">
        <v>0</v>
      </c>
      <c r="Y209" s="102">
        <v>4148.92</v>
      </c>
      <c r="Z209" s="132">
        <v>1071.1500000000001</v>
      </c>
      <c r="AA209" s="120">
        <v>11425.06</v>
      </c>
      <c r="AB209" s="81">
        <v>612</v>
      </c>
      <c r="AC209" s="78">
        <v>3681.53</v>
      </c>
      <c r="AD209" s="81">
        <v>626.74</v>
      </c>
      <c r="AE209" s="78">
        <v>1927.02</v>
      </c>
      <c r="AF209" s="81">
        <v>168.74</v>
      </c>
      <c r="AG209" s="81">
        <v>212.9</v>
      </c>
      <c r="AH209" s="81">
        <v>72.099999999999994</v>
      </c>
      <c r="AI209" s="102">
        <v>17246.509999999998</v>
      </c>
      <c r="AJ209" s="132">
        <v>1479.57</v>
      </c>
      <c r="AK209" s="120">
        <v>33952.720000000001</v>
      </c>
      <c r="AL209" s="78">
        <v>5668.99</v>
      </c>
      <c r="AM209" s="78">
        <v>5395.3</v>
      </c>
      <c r="AN209" s="81">
        <v>490.03</v>
      </c>
      <c r="AO209" s="78">
        <v>2673.48</v>
      </c>
      <c r="AP209" s="81">
        <v>461.22</v>
      </c>
      <c r="AQ209" s="81">
        <v>45.88</v>
      </c>
      <c r="AR209" s="81">
        <v>29.92</v>
      </c>
      <c r="AS209" s="78">
        <v>1236.67</v>
      </c>
      <c r="AT209" s="81">
        <v>154.04</v>
      </c>
      <c r="AU209" s="102">
        <v>43304.05</v>
      </c>
      <c r="AV209" s="132">
        <v>6804.2</v>
      </c>
      <c r="AW209" s="120">
        <v>12664.11</v>
      </c>
      <c r="AX209" s="78">
        <v>1968.08</v>
      </c>
      <c r="AY209" s="78">
        <v>7275.54</v>
      </c>
      <c r="AZ209" s="78">
        <v>1037.57</v>
      </c>
      <c r="BA209" s="78">
        <v>1998.88</v>
      </c>
      <c r="BB209" s="81">
        <v>377.94</v>
      </c>
      <c r="BC209" s="81">
        <v>35.369999999999997</v>
      </c>
      <c r="BD209" s="81">
        <v>13.66</v>
      </c>
      <c r="BE209" s="102">
        <v>21973.9</v>
      </c>
      <c r="BF209" s="132">
        <v>3397.26</v>
      </c>
      <c r="BG209" s="120">
        <v>30616.67</v>
      </c>
      <c r="BH209" s="179">
        <v>2197.96</v>
      </c>
      <c r="BI209" s="159">
        <v>129778.85</v>
      </c>
      <c r="BJ209" s="193">
        <v>19164.41</v>
      </c>
    </row>
    <row r="210" spans="1:62" x14ac:dyDescent="0.25">
      <c r="A210" s="260"/>
      <c r="B210" s="263"/>
      <c r="C210" s="77">
        <v>11</v>
      </c>
      <c r="D210" s="246">
        <v>203</v>
      </c>
      <c r="E210" s="120">
        <v>7004.33</v>
      </c>
      <c r="F210" s="79">
        <v>2126.5300000000002</v>
      </c>
      <c r="G210" s="82"/>
      <c r="H210" s="82"/>
      <c r="I210" s="80">
        <v>0</v>
      </c>
      <c r="J210" s="81">
        <v>0</v>
      </c>
      <c r="K210" s="81">
        <v>553.30999999999995</v>
      </c>
      <c r="L210" s="81">
        <v>207.46</v>
      </c>
      <c r="M210" s="78">
        <v>4640.08</v>
      </c>
      <c r="N210" s="78">
        <v>1773.36</v>
      </c>
      <c r="O210" s="102">
        <v>12197.72</v>
      </c>
      <c r="P210" s="132">
        <v>4107.3599999999997</v>
      </c>
      <c r="Q210" s="120">
        <v>2510.7800000000002</v>
      </c>
      <c r="R210" s="81">
        <v>614.62</v>
      </c>
      <c r="S210" s="81">
        <v>31.03</v>
      </c>
      <c r="T210" s="81">
        <v>8.64</v>
      </c>
      <c r="U210" s="81">
        <v>379.16</v>
      </c>
      <c r="V210" s="81">
        <v>133.5</v>
      </c>
      <c r="W210" s="81">
        <v>0</v>
      </c>
      <c r="X210" s="81">
        <v>0</v>
      </c>
      <c r="Y210" s="102">
        <v>2920.97</v>
      </c>
      <c r="Z210" s="144">
        <v>756.76</v>
      </c>
      <c r="AA210" s="120">
        <v>10192.83</v>
      </c>
      <c r="AB210" s="81">
        <v>479.94</v>
      </c>
      <c r="AC210" s="78">
        <v>4157.12</v>
      </c>
      <c r="AD210" s="81">
        <v>718.35</v>
      </c>
      <c r="AE210" s="78">
        <v>1367.62</v>
      </c>
      <c r="AF210" s="81">
        <v>150.99</v>
      </c>
      <c r="AG210" s="81">
        <v>189.33</v>
      </c>
      <c r="AH210" s="81">
        <v>66.239999999999995</v>
      </c>
      <c r="AI210" s="102">
        <v>15906.9</v>
      </c>
      <c r="AJ210" s="132">
        <v>1415.52</v>
      </c>
      <c r="AK210" s="120">
        <v>42484.17</v>
      </c>
      <c r="AL210" s="78">
        <v>6971.57</v>
      </c>
      <c r="AM210" s="78">
        <v>4164.75</v>
      </c>
      <c r="AN210" s="81">
        <v>384.68</v>
      </c>
      <c r="AO210" s="78">
        <v>2561.4</v>
      </c>
      <c r="AP210" s="81">
        <v>421.37</v>
      </c>
      <c r="AQ210" s="81">
        <v>49.9</v>
      </c>
      <c r="AR210" s="81">
        <v>35.26</v>
      </c>
      <c r="AS210" s="78">
        <v>2211.92</v>
      </c>
      <c r="AT210" s="81">
        <v>246.22</v>
      </c>
      <c r="AU210" s="102">
        <v>51472.15</v>
      </c>
      <c r="AV210" s="132">
        <v>8059.1</v>
      </c>
      <c r="AW210" s="120">
        <v>12570.47</v>
      </c>
      <c r="AX210" s="78">
        <v>1974.45</v>
      </c>
      <c r="AY210" s="78">
        <v>8166.55</v>
      </c>
      <c r="AZ210" s="78">
        <v>1258.9100000000001</v>
      </c>
      <c r="BA210" s="78">
        <v>2457.36</v>
      </c>
      <c r="BB210" s="81">
        <v>508.31</v>
      </c>
      <c r="BC210" s="81">
        <v>84.77</v>
      </c>
      <c r="BD210" s="81">
        <v>17.54</v>
      </c>
      <c r="BE210" s="102">
        <v>23279.16</v>
      </c>
      <c r="BF210" s="132">
        <v>3759.21</v>
      </c>
      <c r="BG210" s="120">
        <v>30057.17</v>
      </c>
      <c r="BH210" s="179">
        <v>2231.59</v>
      </c>
      <c r="BI210" s="159">
        <v>135834.07</v>
      </c>
      <c r="BJ210" s="193">
        <v>20329.53</v>
      </c>
    </row>
    <row r="211" spans="1:62" x14ac:dyDescent="0.25">
      <c r="A211" s="261"/>
      <c r="B211" s="264"/>
      <c r="C211" s="77">
        <v>12</v>
      </c>
      <c r="D211" s="246">
        <v>204</v>
      </c>
      <c r="E211" s="120">
        <v>6693.39</v>
      </c>
      <c r="F211" s="79">
        <v>1883.29</v>
      </c>
      <c r="G211" s="83"/>
      <c r="H211" s="83"/>
      <c r="I211" s="84">
        <v>0</v>
      </c>
      <c r="J211" s="85">
        <v>0</v>
      </c>
      <c r="K211" s="81">
        <v>423.35</v>
      </c>
      <c r="L211" s="81">
        <v>166.22</v>
      </c>
      <c r="M211" s="78">
        <v>3636.28</v>
      </c>
      <c r="N211" s="78">
        <v>1317.01</v>
      </c>
      <c r="O211" s="102">
        <v>10753.02</v>
      </c>
      <c r="P211" s="132">
        <v>3366.52</v>
      </c>
      <c r="Q211" s="120">
        <v>2834.5</v>
      </c>
      <c r="R211" s="81">
        <v>610.86</v>
      </c>
      <c r="S211" s="81">
        <v>8.6199999999999992</v>
      </c>
      <c r="T211" s="81">
        <v>8.61</v>
      </c>
      <c r="U211" s="81">
        <v>430.15</v>
      </c>
      <c r="V211" s="81">
        <v>139.05000000000001</v>
      </c>
      <c r="W211" s="81">
        <v>0</v>
      </c>
      <c r="X211" s="81">
        <v>0</v>
      </c>
      <c r="Y211" s="102">
        <v>3273.27</v>
      </c>
      <c r="Z211" s="144">
        <v>758.52</v>
      </c>
      <c r="AA211" s="120">
        <v>10234.370000000001</v>
      </c>
      <c r="AB211" s="81">
        <v>454.12</v>
      </c>
      <c r="AC211" s="78">
        <v>3427.82</v>
      </c>
      <c r="AD211" s="81">
        <v>602.96</v>
      </c>
      <c r="AE211" s="81">
        <v>706.26</v>
      </c>
      <c r="AF211" s="81">
        <v>99.44</v>
      </c>
      <c r="AG211" s="81">
        <v>173.28</v>
      </c>
      <c r="AH211" s="81">
        <v>61.31</v>
      </c>
      <c r="AI211" s="102">
        <v>14541.72</v>
      </c>
      <c r="AJ211" s="132">
        <v>1217.83</v>
      </c>
      <c r="AK211" s="120">
        <v>36996.629999999997</v>
      </c>
      <c r="AL211" s="78">
        <v>5816.4</v>
      </c>
      <c r="AM211" s="78">
        <v>4657.55</v>
      </c>
      <c r="AN211" s="81">
        <v>406.79</v>
      </c>
      <c r="AO211" s="78">
        <v>2922.5</v>
      </c>
      <c r="AP211" s="81">
        <v>486.51</v>
      </c>
      <c r="AQ211" s="81">
        <v>55.3</v>
      </c>
      <c r="AR211" s="81">
        <v>42.1</v>
      </c>
      <c r="AS211" s="78">
        <v>1392.14</v>
      </c>
      <c r="AT211" s="81">
        <v>156.03</v>
      </c>
      <c r="AU211" s="102">
        <v>46024.11</v>
      </c>
      <c r="AV211" s="132">
        <v>6907.83</v>
      </c>
      <c r="AW211" s="120">
        <v>13642.02</v>
      </c>
      <c r="AX211" s="78">
        <v>2073.9299999999998</v>
      </c>
      <c r="AY211" s="78">
        <v>7085.8</v>
      </c>
      <c r="AZ211" s="78">
        <v>1064.56</v>
      </c>
      <c r="BA211" s="78">
        <v>2082.4499999999998</v>
      </c>
      <c r="BB211" s="81">
        <v>381.76</v>
      </c>
      <c r="BC211" s="81">
        <v>36.65</v>
      </c>
      <c r="BD211" s="81">
        <v>10.57</v>
      </c>
      <c r="BE211" s="102">
        <v>22846.92</v>
      </c>
      <c r="BF211" s="132">
        <v>3530.82</v>
      </c>
      <c r="BG211" s="120">
        <v>24083.21</v>
      </c>
      <c r="BH211" s="179">
        <v>1699.57</v>
      </c>
      <c r="BI211" s="159">
        <v>121522.24000000001</v>
      </c>
      <c r="BJ211" s="193">
        <v>17481.09</v>
      </c>
    </row>
    <row r="212" spans="1:62" x14ac:dyDescent="0.25">
      <c r="A212" s="265">
        <v>2567</v>
      </c>
      <c r="B212" s="268">
        <v>2024</v>
      </c>
      <c r="C212" s="21">
        <v>1</v>
      </c>
      <c r="D212" s="241">
        <v>205</v>
      </c>
      <c r="E212" s="66">
        <v>6587.37</v>
      </c>
      <c r="F212" s="63">
        <v>1771.76</v>
      </c>
      <c r="G212" s="64"/>
      <c r="H212" s="64"/>
      <c r="I212" s="89"/>
      <c r="J212" s="89"/>
      <c r="K212" s="65">
        <v>385.14</v>
      </c>
      <c r="L212" s="23">
        <v>137.35</v>
      </c>
      <c r="M212" s="22">
        <v>3054.57</v>
      </c>
      <c r="N212" s="22">
        <v>1099.79</v>
      </c>
      <c r="O212" s="95">
        <v>10027.08</v>
      </c>
      <c r="P212" s="125">
        <v>3008.9</v>
      </c>
      <c r="Q212" s="66">
        <v>3631.4</v>
      </c>
      <c r="R212" s="23">
        <v>812.3</v>
      </c>
      <c r="S212" s="23">
        <v>65.22</v>
      </c>
      <c r="T212" s="23">
        <v>21.21</v>
      </c>
      <c r="U212" s="23">
        <v>437.08</v>
      </c>
      <c r="V212" s="23">
        <v>133</v>
      </c>
      <c r="W212" s="23">
        <v>4.01</v>
      </c>
      <c r="X212" s="23">
        <v>2.4</v>
      </c>
      <c r="Y212" s="95">
        <v>4137.71</v>
      </c>
      <c r="Z212" s="139">
        <v>968.92</v>
      </c>
      <c r="AA212" s="66">
        <v>13717.35</v>
      </c>
      <c r="AB212" s="23">
        <v>626.22</v>
      </c>
      <c r="AC212" s="22">
        <v>3729.41</v>
      </c>
      <c r="AD212" s="23">
        <v>614.05999999999995</v>
      </c>
      <c r="AE212" s="22">
        <v>1483.44</v>
      </c>
      <c r="AF212" s="23">
        <v>153.88999999999999</v>
      </c>
      <c r="AG212" s="23">
        <v>254.73</v>
      </c>
      <c r="AH212" s="23">
        <v>72.48</v>
      </c>
      <c r="AI212" s="95">
        <v>19184.919999999998</v>
      </c>
      <c r="AJ212" s="125">
        <v>1466.65</v>
      </c>
      <c r="AK212" s="66">
        <v>37686.5</v>
      </c>
      <c r="AL212" s="22">
        <v>5705.91</v>
      </c>
      <c r="AM212" s="22">
        <v>3860.29</v>
      </c>
      <c r="AN212" s="23">
        <v>349.2</v>
      </c>
      <c r="AO212" s="22">
        <v>2989.04</v>
      </c>
      <c r="AP212" s="23">
        <v>472.08</v>
      </c>
      <c r="AQ212" s="23">
        <v>45.75</v>
      </c>
      <c r="AR212" s="23">
        <v>27.1</v>
      </c>
      <c r="AS212" s="23">
        <v>735.95</v>
      </c>
      <c r="AT212" s="23">
        <v>97.42</v>
      </c>
      <c r="AU212" s="95">
        <v>45317.53</v>
      </c>
      <c r="AV212" s="125">
        <v>6651.71</v>
      </c>
      <c r="AW212" s="66">
        <v>11440.11</v>
      </c>
      <c r="AX212" s="22">
        <v>1822.68</v>
      </c>
      <c r="AY212" s="22">
        <v>5878.23</v>
      </c>
      <c r="AZ212" s="23">
        <v>868.53</v>
      </c>
      <c r="BA212" s="22">
        <v>2694.91</v>
      </c>
      <c r="BB212" s="23">
        <v>511.09</v>
      </c>
      <c r="BC212" s="23">
        <v>46.82</v>
      </c>
      <c r="BD212" s="23">
        <v>15.55</v>
      </c>
      <c r="BE212" s="95">
        <v>20060.07</v>
      </c>
      <c r="BF212" s="125">
        <v>3217.86</v>
      </c>
      <c r="BG212" s="66">
        <v>28790.59</v>
      </c>
      <c r="BH212" s="170">
        <v>1822.57</v>
      </c>
      <c r="BI212" s="152">
        <v>127517.89</v>
      </c>
      <c r="BJ212" s="186">
        <v>17136.61</v>
      </c>
    </row>
    <row r="213" spans="1:62" x14ac:dyDescent="0.25">
      <c r="A213" s="266"/>
      <c r="B213" s="269"/>
      <c r="C213" s="21">
        <v>2</v>
      </c>
      <c r="D213" s="241">
        <v>206</v>
      </c>
      <c r="E213" s="66">
        <v>6572.34</v>
      </c>
      <c r="F213" s="63">
        <v>1800.2</v>
      </c>
      <c r="G213" s="64"/>
      <c r="H213" s="64"/>
      <c r="I213" s="64"/>
      <c r="J213" s="64"/>
      <c r="K213" s="65">
        <v>387.18</v>
      </c>
      <c r="L213" s="23">
        <v>123.58</v>
      </c>
      <c r="M213" s="22">
        <v>3489.97</v>
      </c>
      <c r="N213" s="22">
        <v>1302.56</v>
      </c>
      <c r="O213" s="95">
        <v>10449.5</v>
      </c>
      <c r="P213" s="125">
        <v>3226.34</v>
      </c>
      <c r="Q213" s="66">
        <v>3452.68</v>
      </c>
      <c r="R213" s="23">
        <v>810.06</v>
      </c>
      <c r="S213" s="23">
        <v>6.61</v>
      </c>
      <c r="T213" s="23">
        <v>7.64</v>
      </c>
      <c r="U213" s="23">
        <v>326.77</v>
      </c>
      <c r="V213" s="23">
        <v>100.95</v>
      </c>
      <c r="W213" s="23">
        <v>0.35</v>
      </c>
      <c r="X213" s="23">
        <v>0.31</v>
      </c>
      <c r="Y213" s="95">
        <v>3786.41</v>
      </c>
      <c r="Z213" s="139">
        <v>918.96</v>
      </c>
      <c r="AA213" s="66">
        <v>11812.13</v>
      </c>
      <c r="AB213" s="23">
        <v>541.78</v>
      </c>
      <c r="AC213" s="22">
        <v>3266.57</v>
      </c>
      <c r="AD213" s="23">
        <v>547.04999999999995</v>
      </c>
      <c r="AE213" s="23">
        <v>759.74</v>
      </c>
      <c r="AF213" s="23">
        <v>104.15</v>
      </c>
      <c r="AG213" s="23">
        <v>208.49</v>
      </c>
      <c r="AH213" s="23">
        <v>71.319999999999993</v>
      </c>
      <c r="AI213" s="95">
        <v>16046.93</v>
      </c>
      <c r="AJ213" s="125">
        <v>1264.29</v>
      </c>
      <c r="AK213" s="66">
        <v>44953.27</v>
      </c>
      <c r="AL213" s="22">
        <v>6990.26</v>
      </c>
      <c r="AM213" s="22">
        <v>4936.4799999999996</v>
      </c>
      <c r="AN213" s="23">
        <v>425.32</v>
      </c>
      <c r="AO213" s="22">
        <v>3604.18</v>
      </c>
      <c r="AP213" s="23">
        <v>537.86</v>
      </c>
      <c r="AQ213" s="23">
        <v>49.47</v>
      </c>
      <c r="AR213" s="23">
        <v>30.54</v>
      </c>
      <c r="AS213" s="23">
        <v>856.49</v>
      </c>
      <c r="AT213" s="23">
        <v>106.87</v>
      </c>
      <c r="AU213" s="95">
        <v>54399.9</v>
      </c>
      <c r="AV213" s="125">
        <v>8090.85</v>
      </c>
      <c r="AW213" s="66">
        <v>12629.88</v>
      </c>
      <c r="AX213" s="22">
        <v>1997.99</v>
      </c>
      <c r="AY213" s="22">
        <v>6487.81</v>
      </c>
      <c r="AZ213" s="23">
        <v>972.51</v>
      </c>
      <c r="BA213" s="22">
        <v>2640.07</v>
      </c>
      <c r="BB213" s="23">
        <v>486.71</v>
      </c>
      <c r="BC213" s="23">
        <v>52.57</v>
      </c>
      <c r="BD213" s="23">
        <v>20.14</v>
      </c>
      <c r="BE213" s="95">
        <v>21810.34</v>
      </c>
      <c r="BF213" s="125">
        <v>3477.35</v>
      </c>
      <c r="BG213" s="66">
        <v>34784.78</v>
      </c>
      <c r="BH213" s="170">
        <v>2265.8200000000002</v>
      </c>
      <c r="BI213" s="152">
        <v>141277.85</v>
      </c>
      <c r="BJ213" s="186">
        <v>19243.61</v>
      </c>
    </row>
    <row r="214" spans="1:62" x14ac:dyDescent="0.25">
      <c r="A214" s="266"/>
      <c r="B214" s="269"/>
      <c r="C214" s="21">
        <v>3</v>
      </c>
      <c r="D214" s="241">
        <v>207</v>
      </c>
      <c r="E214" s="66">
        <v>7784</v>
      </c>
      <c r="F214" s="63">
        <v>2110.08</v>
      </c>
      <c r="G214" s="64"/>
      <c r="H214" s="64"/>
      <c r="I214" s="64"/>
      <c r="J214" s="64"/>
      <c r="K214" s="65">
        <v>453.94</v>
      </c>
      <c r="L214" s="23">
        <v>166.27</v>
      </c>
      <c r="M214" s="22">
        <v>4192.72</v>
      </c>
      <c r="N214" s="22">
        <v>1594.71</v>
      </c>
      <c r="O214" s="95">
        <v>12430.66</v>
      </c>
      <c r="P214" s="125">
        <v>3871.06</v>
      </c>
      <c r="Q214" s="66">
        <v>4219.33</v>
      </c>
      <c r="R214" s="22">
        <v>1090.9100000000001</v>
      </c>
      <c r="S214" s="23">
        <v>36.01</v>
      </c>
      <c r="T214" s="23">
        <v>14.24</v>
      </c>
      <c r="U214" s="23">
        <v>427.91</v>
      </c>
      <c r="V214" s="23">
        <v>150.68</v>
      </c>
      <c r="W214" s="23">
        <v>0</v>
      </c>
      <c r="X214" s="23">
        <v>0</v>
      </c>
      <c r="Y214" s="95">
        <v>4683.25</v>
      </c>
      <c r="Z214" s="125">
        <v>1255.8399999999999</v>
      </c>
      <c r="AA214" s="66">
        <v>15355.59</v>
      </c>
      <c r="AB214" s="23">
        <v>811.77</v>
      </c>
      <c r="AC214" s="22">
        <v>4444.54</v>
      </c>
      <c r="AD214" s="23">
        <v>606.76</v>
      </c>
      <c r="AE214" s="23">
        <v>645.33000000000004</v>
      </c>
      <c r="AF214" s="23">
        <v>106.41</v>
      </c>
      <c r="AG214" s="23">
        <v>259.62</v>
      </c>
      <c r="AH214" s="23">
        <v>90.7</v>
      </c>
      <c r="AI214" s="95">
        <v>20705.09</v>
      </c>
      <c r="AJ214" s="125">
        <v>1615.64</v>
      </c>
      <c r="AK214" s="66">
        <v>42666.46</v>
      </c>
      <c r="AL214" s="22">
        <v>6758.08</v>
      </c>
      <c r="AM214" s="22">
        <v>5485.74</v>
      </c>
      <c r="AN214" s="23">
        <v>472.76</v>
      </c>
      <c r="AO214" s="22">
        <v>3575.33</v>
      </c>
      <c r="AP214" s="23">
        <v>550.87</v>
      </c>
      <c r="AQ214" s="23">
        <v>52.56</v>
      </c>
      <c r="AR214" s="23">
        <v>35.24</v>
      </c>
      <c r="AS214" s="23">
        <v>890.44</v>
      </c>
      <c r="AT214" s="23">
        <v>111.48</v>
      </c>
      <c r="AU214" s="95">
        <v>52670.52</v>
      </c>
      <c r="AV214" s="125">
        <v>7928.44</v>
      </c>
      <c r="AW214" s="66">
        <v>14618.47</v>
      </c>
      <c r="AX214" s="22">
        <v>2282.8200000000002</v>
      </c>
      <c r="AY214" s="22">
        <v>6578.26</v>
      </c>
      <c r="AZ214" s="23">
        <v>989.67</v>
      </c>
      <c r="BA214" s="22">
        <v>2876.14</v>
      </c>
      <c r="BB214" s="23">
        <v>508.59</v>
      </c>
      <c r="BC214" s="23">
        <v>74.66</v>
      </c>
      <c r="BD214" s="23">
        <v>23.18</v>
      </c>
      <c r="BE214" s="95">
        <v>24147.54</v>
      </c>
      <c r="BF214" s="125">
        <v>3804.26</v>
      </c>
      <c r="BG214" s="66">
        <v>43023.79</v>
      </c>
      <c r="BH214" s="170">
        <v>2745.18</v>
      </c>
      <c r="BI214" s="152">
        <v>157660.84</v>
      </c>
      <c r="BJ214" s="186">
        <v>21220.400000000001</v>
      </c>
    </row>
    <row r="215" spans="1:62" x14ac:dyDescent="0.25">
      <c r="A215" s="266"/>
      <c r="B215" s="269"/>
      <c r="C215" s="21">
        <v>4</v>
      </c>
      <c r="D215" s="241">
        <v>208</v>
      </c>
      <c r="E215" s="66">
        <v>7228.05</v>
      </c>
      <c r="F215" s="63">
        <v>1807.62</v>
      </c>
      <c r="G215" s="64"/>
      <c r="H215" s="64"/>
      <c r="I215" s="64"/>
      <c r="J215" s="64"/>
      <c r="K215" s="65">
        <v>429.92</v>
      </c>
      <c r="L215" s="23">
        <v>155.54</v>
      </c>
      <c r="M215" s="22">
        <v>3836.22</v>
      </c>
      <c r="N215" s="22">
        <v>1482.03</v>
      </c>
      <c r="O215" s="95">
        <v>11494.19</v>
      </c>
      <c r="P215" s="125">
        <v>3445.18</v>
      </c>
      <c r="Q215" s="66">
        <v>3966.95</v>
      </c>
      <c r="R215" s="23">
        <v>879.53</v>
      </c>
      <c r="S215" s="23">
        <v>32.94</v>
      </c>
      <c r="T215" s="23">
        <v>12.06</v>
      </c>
      <c r="U215" s="23">
        <v>377.46</v>
      </c>
      <c r="V215" s="23">
        <v>115.89</v>
      </c>
      <c r="W215" s="23">
        <v>3.51</v>
      </c>
      <c r="X215" s="23">
        <v>2.11</v>
      </c>
      <c r="Y215" s="95">
        <v>4380.8599999999997</v>
      </c>
      <c r="Z215" s="125">
        <v>1009.59</v>
      </c>
      <c r="AA215" s="66">
        <v>9774.66</v>
      </c>
      <c r="AB215" s="23">
        <v>501.61</v>
      </c>
      <c r="AC215" s="22">
        <v>3495.06</v>
      </c>
      <c r="AD215" s="23">
        <v>557.83000000000004</v>
      </c>
      <c r="AE215" s="23">
        <v>648.22</v>
      </c>
      <c r="AF215" s="23">
        <v>103.84</v>
      </c>
      <c r="AG215" s="23">
        <v>276.02999999999997</v>
      </c>
      <c r="AH215" s="23">
        <v>86.34</v>
      </c>
      <c r="AI215" s="95">
        <v>14193.97</v>
      </c>
      <c r="AJ215" s="125">
        <v>1249.6300000000001</v>
      </c>
      <c r="AK215" s="66">
        <v>37415.019999999997</v>
      </c>
      <c r="AL215" s="22">
        <v>5918.59</v>
      </c>
      <c r="AM215" s="22">
        <v>3974.1</v>
      </c>
      <c r="AN215" s="23">
        <v>364.06</v>
      </c>
      <c r="AO215" s="22">
        <v>2974.03</v>
      </c>
      <c r="AP215" s="23">
        <v>469.77</v>
      </c>
      <c r="AQ215" s="23">
        <v>50.36</v>
      </c>
      <c r="AR215" s="23">
        <v>29.94</v>
      </c>
      <c r="AS215" s="23">
        <v>682.17</v>
      </c>
      <c r="AT215" s="23">
        <v>84.64</v>
      </c>
      <c r="AU215" s="95">
        <v>45095.67</v>
      </c>
      <c r="AV215" s="125">
        <v>6867</v>
      </c>
      <c r="AW215" s="66">
        <v>12977.26</v>
      </c>
      <c r="AX215" s="22">
        <v>2037.96</v>
      </c>
      <c r="AY215" s="22">
        <v>6489.86</v>
      </c>
      <c r="AZ215" s="23">
        <v>987.7</v>
      </c>
      <c r="BA215" s="22">
        <v>3182.36</v>
      </c>
      <c r="BB215" s="23">
        <v>574.79999999999995</v>
      </c>
      <c r="BC215" s="23">
        <v>34.65</v>
      </c>
      <c r="BD215" s="23">
        <v>10.66</v>
      </c>
      <c r="BE215" s="95">
        <v>22684.13</v>
      </c>
      <c r="BF215" s="125">
        <v>3611.12</v>
      </c>
      <c r="BG215" s="66">
        <v>36401.699999999997</v>
      </c>
      <c r="BH215" s="170">
        <v>2323.81</v>
      </c>
      <c r="BI215" s="152">
        <v>134250.51</v>
      </c>
      <c r="BJ215" s="186">
        <v>18506.32</v>
      </c>
    </row>
    <row r="216" spans="1:62" x14ac:dyDescent="0.25">
      <c r="A216" s="266"/>
      <c r="B216" s="269"/>
      <c r="C216" s="21">
        <v>5</v>
      </c>
      <c r="D216" s="241">
        <v>209</v>
      </c>
      <c r="E216" s="66">
        <v>6760.43</v>
      </c>
      <c r="F216" s="63">
        <v>1783.79</v>
      </c>
      <c r="G216" s="64"/>
      <c r="H216" s="64"/>
      <c r="I216" s="64"/>
      <c r="J216" s="64"/>
      <c r="K216" s="65">
        <v>482.33</v>
      </c>
      <c r="L216" s="23">
        <v>180.74</v>
      </c>
      <c r="M216" s="22">
        <v>4391.29</v>
      </c>
      <c r="N216" s="22">
        <v>1652.92</v>
      </c>
      <c r="O216" s="95">
        <v>11634.04</v>
      </c>
      <c r="P216" s="125">
        <v>3617.46</v>
      </c>
      <c r="Q216" s="66">
        <v>3558.6</v>
      </c>
      <c r="R216" s="23">
        <v>849.53</v>
      </c>
      <c r="S216" s="23">
        <v>62.78</v>
      </c>
      <c r="T216" s="23">
        <v>18.850000000000001</v>
      </c>
      <c r="U216" s="23">
        <v>508.37</v>
      </c>
      <c r="V216" s="23">
        <v>150.15</v>
      </c>
      <c r="W216" s="23">
        <v>2</v>
      </c>
      <c r="X216" s="23">
        <v>2.38</v>
      </c>
      <c r="Y216" s="95">
        <v>4131.75</v>
      </c>
      <c r="Z216" s="125">
        <v>1020.91</v>
      </c>
      <c r="AA216" s="66">
        <v>12098.14</v>
      </c>
      <c r="AB216" s="23">
        <v>681.28</v>
      </c>
      <c r="AC216" s="22">
        <v>4008.94</v>
      </c>
      <c r="AD216" s="23">
        <v>636.01</v>
      </c>
      <c r="AE216" s="23">
        <v>855.34</v>
      </c>
      <c r="AF216" s="23">
        <v>102.96</v>
      </c>
      <c r="AG216" s="23">
        <v>262.51</v>
      </c>
      <c r="AH216" s="23">
        <v>86.62</v>
      </c>
      <c r="AI216" s="95">
        <v>17224.939999999999</v>
      </c>
      <c r="AJ216" s="125">
        <v>1506.88</v>
      </c>
      <c r="AK216" s="66">
        <v>44422.3</v>
      </c>
      <c r="AL216" s="22">
        <v>6991.14</v>
      </c>
      <c r="AM216" s="22">
        <v>3909.01</v>
      </c>
      <c r="AN216" s="23">
        <v>369.58</v>
      </c>
      <c r="AO216" s="22">
        <v>2732.91</v>
      </c>
      <c r="AP216" s="23">
        <v>461</v>
      </c>
      <c r="AQ216" s="23">
        <v>77.430000000000007</v>
      </c>
      <c r="AR216" s="23">
        <v>52.22</v>
      </c>
      <c r="AS216" s="23">
        <v>685.93</v>
      </c>
      <c r="AT216" s="23">
        <v>96.21</v>
      </c>
      <c r="AU216" s="95">
        <v>51827.58</v>
      </c>
      <c r="AV216" s="125">
        <v>7970.16</v>
      </c>
      <c r="AW216" s="66">
        <v>15586.42</v>
      </c>
      <c r="AX216" s="22">
        <v>2532.38</v>
      </c>
      <c r="AY216" s="22">
        <v>6825.91</v>
      </c>
      <c r="AZ216" s="22">
        <v>1029.25</v>
      </c>
      <c r="BA216" s="22">
        <v>2504.35</v>
      </c>
      <c r="BB216" s="23">
        <v>440.98</v>
      </c>
      <c r="BC216" s="23">
        <v>51.96</v>
      </c>
      <c r="BD216" s="23">
        <v>20.079999999999998</v>
      </c>
      <c r="BE216" s="95">
        <v>24968.65</v>
      </c>
      <c r="BF216" s="125">
        <v>4022.69</v>
      </c>
      <c r="BG216" s="66">
        <v>41296.639999999999</v>
      </c>
      <c r="BH216" s="170">
        <v>2650.03</v>
      </c>
      <c r="BI216" s="152">
        <v>151083.57999999999</v>
      </c>
      <c r="BJ216" s="186">
        <v>20788.13</v>
      </c>
    </row>
    <row r="217" spans="1:62" x14ac:dyDescent="0.25">
      <c r="A217" s="266"/>
      <c r="B217" s="269"/>
      <c r="C217" s="21">
        <v>6</v>
      </c>
      <c r="D217" s="241">
        <v>210</v>
      </c>
      <c r="E217" s="66">
        <v>5302.31</v>
      </c>
      <c r="F217" s="63">
        <v>1583.3</v>
      </c>
      <c r="G217" s="64"/>
      <c r="H217" s="64"/>
      <c r="I217" s="64"/>
      <c r="J217" s="64"/>
      <c r="K217" s="65">
        <v>388.75</v>
      </c>
      <c r="L217" s="23">
        <v>146.32</v>
      </c>
      <c r="M217" s="22">
        <v>3990.4</v>
      </c>
      <c r="N217" s="22">
        <v>1525.46</v>
      </c>
      <c r="O217" s="95">
        <v>9681.4599999999991</v>
      </c>
      <c r="P217" s="125">
        <v>3255.07</v>
      </c>
      <c r="Q217" s="66">
        <v>2930</v>
      </c>
      <c r="R217" s="23">
        <v>754.54</v>
      </c>
      <c r="S217" s="23">
        <v>37.5</v>
      </c>
      <c r="T217" s="23">
        <v>17.75</v>
      </c>
      <c r="U217" s="23">
        <v>309.66000000000003</v>
      </c>
      <c r="V217" s="23">
        <v>108.2</v>
      </c>
      <c r="W217" s="23">
        <v>6.5</v>
      </c>
      <c r="X217" s="23">
        <v>1.95</v>
      </c>
      <c r="Y217" s="95">
        <v>3283.66</v>
      </c>
      <c r="Z217" s="139">
        <v>882.45</v>
      </c>
      <c r="AA217" s="66">
        <v>10384.799999999999</v>
      </c>
      <c r="AB217" s="23">
        <v>542.20000000000005</v>
      </c>
      <c r="AC217" s="22">
        <v>3329.32</v>
      </c>
      <c r="AD217" s="23">
        <v>511.83</v>
      </c>
      <c r="AE217" s="23">
        <v>539.69000000000005</v>
      </c>
      <c r="AF217" s="23">
        <v>90.21</v>
      </c>
      <c r="AG217" s="23">
        <v>294.95999999999998</v>
      </c>
      <c r="AH217" s="23">
        <v>88.04</v>
      </c>
      <c r="AI217" s="95">
        <v>14548.77</v>
      </c>
      <c r="AJ217" s="125">
        <v>1232.28</v>
      </c>
      <c r="AK217" s="66">
        <v>41077.440000000002</v>
      </c>
      <c r="AL217" s="22">
        <v>6245.24</v>
      </c>
      <c r="AM217" s="22">
        <v>4087.75</v>
      </c>
      <c r="AN217" s="23">
        <v>387.04</v>
      </c>
      <c r="AO217" s="22">
        <v>2484.41</v>
      </c>
      <c r="AP217" s="23">
        <v>395.93</v>
      </c>
      <c r="AQ217" s="23">
        <v>53.41</v>
      </c>
      <c r="AR217" s="23">
        <v>31.71</v>
      </c>
      <c r="AS217" s="23">
        <v>766.63</v>
      </c>
      <c r="AT217" s="23">
        <v>115.01</v>
      </c>
      <c r="AU217" s="95">
        <v>48469.64</v>
      </c>
      <c r="AV217" s="125">
        <v>7174.94</v>
      </c>
      <c r="AW217" s="66">
        <v>13205.68</v>
      </c>
      <c r="AX217" s="22">
        <v>2149.62</v>
      </c>
      <c r="AY217" s="22">
        <v>7259.29</v>
      </c>
      <c r="AZ217" s="22">
        <v>1107.07</v>
      </c>
      <c r="BA217" s="22">
        <v>1900.73</v>
      </c>
      <c r="BB217" s="23">
        <v>320.01</v>
      </c>
      <c r="BC217" s="23">
        <v>47.56</v>
      </c>
      <c r="BD217" s="23">
        <v>17.899999999999999</v>
      </c>
      <c r="BE217" s="95">
        <v>22413.26</v>
      </c>
      <c r="BF217" s="125">
        <v>3594.6</v>
      </c>
      <c r="BG217" s="66">
        <v>39006</v>
      </c>
      <c r="BH217" s="170">
        <v>2545.4699999999998</v>
      </c>
      <c r="BI217" s="152">
        <v>137402.78</v>
      </c>
      <c r="BJ217" s="186">
        <v>18684.82</v>
      </c>
    </row>
    <row r="218" spans="1:62" x14ac:dyDescent="0.25">
      <c r="A218" s="266"/>
      <c r="B218" s="269"/>
      <c r="C218" s="21">
        <v>7</v>
      </c>
      <c r="D218" s="241">
        <v>211</v>
      </c>
      <c r="E218" s="66">
        <v>5634.18</v>
      </c>
      <c r="F218" s="63">
        <v>1613.47</v>
      </c>
      <c r="G218" s="64"/>
      <c r="H218" s="64"/>
      <c r="I218" s="64"/>
      <c r="J218" s="64"/>
      <c r="K218" s="65">
        <v>426.64</v>
      </c>
      <c r="L218" s="23">
        <v>161.91999999999999</v>
      </c>
      <c r="M218" s="22">
        <v>4385.6400000000003</v>
      </c>
      <c r="N218" s="22">
        <v>1602.04</v>
      </c>
      <c r="O218" s="95">
        <v>10446.459999999999</v>
      </c>
      <c r="P218" s="125">
        <v>3377.43</v>
      </c>
      <c r="Q218" s="66">
        <v>2863.48</v>
      </c>
      <c r="R218" s="23">
        <v>716.92</v>
      </c>
      <c r="S218" s="23">
        <v>10.7</v>
      </c>
      <c r="T218" s="23">
        <v>12.33</v>
      </c>
      <c r="U218" s="23">
        <v>486.44</v>
      </c>
      <c r="V218" s="23">
        <v>161.22999999999999</v>
      </c>
      <c r="W218" s="23">
        <v>0</v>
      </c>
      <c r="X218" s="23">
        <v>0</v>
      </c>
      <c r="Y218" s="95">
        <v>3360.62</v>
      </c>
      <c r="Z218" s="139">
        <v>890.49</v>
      </c>
      <c r="AA218" s="66">
        <v>9178.0499999999993</v>
      </c>
      <c r="AB218" s="23">
        <v>394.34</v>
      </c>
      <c r="AC218" s="22">
        <v>3550.93</v>
      </c>
      <c r="AD218" s="23">
        <v>602.85</v>
      </c>
      <c r="AE218" s="23">
        <v>943.32</v>
      </c>
      <c r="AF218" s="23">
        <v>122.64</v>
      </c>
      <c r="AG218" s="23">
        <v>273.92</v>
      </c>
      <c r="AH218" s="23">
        <v>81.88</v>
      </c>
      <c r="AI218" s="95">
        <v>13946.23</v>
      </c>
      <c r="AJ218" s="125">
        <v>1201.71</v>
      </c>
      <c r="AK218" s="66">
        <v>50607.45</v>
      </c>
      <c r="AL218" s="22">
        <v>7759.84</v>
      </c>
      <c r="AM218" s="22">
        <v>4841.7</v>
      </c>
      <c r="AN218" s="23">
        <v>458.26</v>
      </c>
      <c r="AO218" s="22">
        <v>3450.39</v>
      </c>
      <c r="AP218" s="23">
        <v>529.78</v>
      </c>
      <c r="AQ218" s="23">
        <v>65.66</v>
      </c>
      <c r="AR218" s="23">
        <v>34.75</v>
      </c>
      <c r="AS218" s="22">
        <v>1104.19</v>
      </c>
      <c r="AT218" s="23">
        <v>134.31</v>
      </c>
      <c r="AU218" s="95">
        <v>60069.4</v>
      </c>
      <c r="AV218" s="125">
        <v>8916.94</v>
      </c>
      <c r="AW218" s="66">
        <v>15932.88</v>
      </c>
      <c r="AX218" s="22">
        <v>2671.62</v>
      </c>
      <c r="AY218" s="22">
        <v>8128.89</v>
      </c>
      <c r="AZ218" s="22">
        <v>1171.0999999999999</v>
      </c>
      <c r="BA218" s="22">
        <v>3166.55</v>
      </c>
      <c r="BB218" s="23">
        <v>578.89</v>
      </c>
      <c r="BC218" s="23">
        <v>47.52</v>
      </c>
      <c r="BD218" s="23">
        <v>16.89</v>
      </c>
      <c r="BE218" s="95">
        <v>27275.83</v>
      </c>
      <c r="BF218" s="125">
        <v>4438.5</v>
      </c>
      <c r="BG218" s="66">
        <v>43541.17</v>
      </c>
      <c r="BH218" s="170">
        <v>2823.24</v>
      </c>
      <c r="BI218" s="152">
        <v>158639.70000000001</v>
      </c>
      <c r="BJ218" s="186">
        <v>21648.31</v>
      </c>
    </row>
    <row r="219" spans="1:62" x14ac:dyDescent="0.25">
      <c r="A219" s="266"/>
      <c r="B219" s="269"/>
      <c r="C219" s="21">
        <v>8</v>
      </c>
      <c r="D219" s="241">
        <v>212</v>
      </c>
      <c r="E219" s="66">
        <v>6429.62</v>
      </c>
      <c r="F219" s="63">
        <v>1920.28</v>
      </c>
      <c r="G219" s="64"/>
      <c r="H219" s="64"/>
      <c r="I219" s="64"/>
      <c r="J219" s="64"/>
      <c r="K219" s="65">
        <v>435.33</v>
      </c>
      <c r="L219" s="23">
        <v>162.22999999999999</v>
      </c>
      <c r="M219" s="22">
        <v>5019.32</v>
      </c>
      <c r="N219" s="22">
        <v>1837.71</v>
      </c>
      <c r="O219" s="95">
        <v>11884.27</v>
      </c>
      <c r="P219" s="125">
        <v>3920.22</v>
      </c>
      <c r="Q219" s="66">
        <v>2749.73</v>
      </c>
      <c r="R219" s="23">
        <v>711.96</v>
      </c>
      <c r="S219" s="23">
        <v>10.07</v>
      </c>
      <c r="T219" s="23">
        <v>12.77</v>
      </c>
      <c r="U219" s="23">
        <v>494.56</v>
      </c>
      <c r="V219" s="23">
        <v>171.49</v>
      </c>
      <c r="W219" s="23">
        <v>5.16</v>
      </c>
      <c r="X219" s="23">
        <v>1.55</v>
      </c>
      <c r="Y219" s="95">
        <v>3259.52</v>
      </c>
      <c r="Z219" s="139">
        <v>897.76</v>
      </c>
      <c r="AA219" s="66">
        <v>10837.6</v>
      </c>
      <c r="AB219" s="23">
        <v>519.17999999999995</v>
      </c>
      <c r="AC219" s="22">
        <v>5024.93</v>
      </c>
      <c r="AD219" s="23">
        <v>841.01</v>
      </c>
      <c r="AE219" s="22">
        <v>1201.9100000000001</v>
      </c>
      <c r="AF219" s="23">
        <v>124.24</v>
      </c>
      <c r="AG219" s="23">
        <v>262.13</v>
      </c>
      <c r="AH219" s="23">
        <v>81.95</v>
      </c>
      <c r="AI219" s="95">
        <v>17326.57</v>
      </c>
      <c r="AJ219" s="125">
        <v>1566.39</v>
      </c>
      <c r="AK219" s="66">
        <v>53349.16</v>
      </c>
      <c r="AL219" s="22">
        <v>8049.47</v>
      </c>
      <c r="AM219" s="22">
        <v>5048.43</v>
      </c>
      <c r="AN219" s="23">
        <v>470.3</v>
      </c>
      <c r="AO219" s="22">
        <v>3537.54</v>
      </c>
      <c r="AP219" s="23">
        <v>552.64</v>
      </c>
      <c r="AQ219" s="23">
        <v>66.73</v>
      </c>
      <c r="AR219" s="23">
        <v>39.43</v>
      </c>
      <c r="AS219" s="23">
        <v>986.33</v>
      </c>
      <c r="AT219" s="23">
        <v>127.62</v>
      </c>
      <c r="AU219" s="95">
        <v>62988.19</v>
      </c>
      <c r="AV219" s="125">
        <v>9239.4599999999991</v>
      </c>
      <c r="AW219" s="66">
        <v>16364</v>
      </c>
      <c r="AX219" s="22">
        <v>2746.61</v>
      </c>
      <c r="AY219" s="22">
        <v>7622.64</v>
      </c>
      <c r="AZ219" s="22">
        <v>1118.56</v>
      </c>
      <c r="BA219" s="22">
        <v>2289.4899999999998</v>
      </c>
      <c r="BB219" s="23">
        <v>423.15</v>
      </c>
      <c r="BC219" s="23">
        <v>30.02</v>
      </c>
      <c r="BD219" s="23">
        <v>12.81</v>
      </c>
      <c r="BE219" s="95">
        <v>26306.15</v>
      </c>
      <c r="BF219" s="125">
        <v>4301.1400000000003</v>
      </c>
      <c r="BG219" s="66">
        <v>35812.089999999997</v>
      </c>
      <c r="BH219" s="170">
        <v>2436.04</v>
      </c>
      <c r="BI219" s="152">
        <v>157576.79</v>
      </c>
      <c r="BJ219" s="186">
        <v>22361.02</v>
      </c>
    </row>
    <row r="220" spans="1:62" x14ac:dyDescent="0.25">
      <c r="A220" s="266"/>
      <c r="B220" s="269"/>
      <c r="C220" s="21">
        <v>9</v>
      </c>
      <c r="D220" s="241">
        <v>213</v>
      </c>
      <c r="E220" s="66">
        <v>7165.7</v>
      </c>
      <c r="F220" s="63">
        <v>2108.2800000000002</v>
      </c>
      <c r="G220" s="64"/>
      <c r="H220" s="64"/>
      <c r="I220" s="64"/>
      <c r="J220" s="64"/>
      <c r="K220" s="65">
        <v>388.73</v>
      </c>
      <c r="L220" s="23">
        <v>141.88</v>
      </c>
      <c r="M220" s="22">
        <v>4927.59</v>
      </c>
      <c r="N220" s="22">
        <v>1774.82</v>
      </c>
      <c r="O220" s="95">
        <v>12482.01</v>
      </c>
      <c r="P220" s="125">
        <v>4024.98</v>
      </c>
      <c r="Q220" s="66">
        <v>2311.87</v>
      </c>
      <c r="R220" s="23">
        <v>580.94000000000005</v>
      </c>
      <c r="S220" s="23">
        <v>1.39</v>
      </c>
      <c r="T220" s="23">
        <v>1.43</v>
      </c>
      <c r="U220" s="23">
        <v>431</v>
      </c>
      <c r="V220" s="23">
        <v>150</v>
      </c>
      <c r="W220" s="23">
        <v>0</v>
      </c>
      <c r="X220" s="23">
        <v>0</v>
      </c>
      <c r="Y220" s="95">
        <v>2744.26</v>
      </c>
      <c r="Z220" s="139">
        <v>732.37</v>
      </c>
      <c r="AA220" s="66">
        <v>9200.7900000000009</v>
      </c>
      <c r="AB220" s="23">
        <v>447.25</v>
      </c>
      <c r="AC220" s="22">
        <v>3808.2</v>
      </c>
      <c r="AD220" s="23">
        <v>585.76</v>
      </c>
      <c r="AE220" s="23">
        <v>876.83</v>
      </c>
      <c r="AF220" s="23">
        <v>92.35</v>
      </c>
      <c r="AG220" s="23">
        <v>271.32</v>
      </c>
      <c r="AH220" s="23">
        <v>82.06</v>
      </c>
      <c r="AI220" s="95">
        <v>14157.14</v>
      </c>
      <c r="AJ220" s="125">
        <v>1207.42</v>
      </c>
      <c r="AK220" s="66">
        <v>50518.79</v>
      </c>
      <c r="AL220" s="22">
        <v>7292.61</v>
      </c>
      <c r="AM220" s="22">
        <v>5304.86</v>
      </c>
      <c r="AN220" s="23">
        <v>479.1</v>
      </c>
      <c r="AO220" s="22">
        <v>3607.68</v>
      </c>
      <c r="AP220" s="23">
        <v>511.79</v>
      </c>
      <c r="AQ220" s="23">
        <v>74.510000000000005</v>
      </c>
      <c r="AR220" s="23">
        <v>38.74</v>
      </c>
      <c r="AS220" s="22">
        <v>1383.3</v>
      </c>
      <c r="AT220" s="23">
        <v>152.72999999999999</v>
      </c>
      <c r="AU220" s="95">
        <v>60889.15</v>
      </c>
      <c r="AV220" s="125">
        <v>8474.98</v>
      </c>
      <c r="AW220" s="66">
        <v>15802.3</v>
      </c>
      <c r="AX220" s="22">
        <v>2479.0500000000002</v>
      </c>
      <c r="AY220" s="22">
        <v>7703.66</v>
      </c>
      <c r="AZ220" s="22">
        <v>1101.23</v>
      </c>
      <c r="BA220" s="22">
        <v>2424.7199999999998</v>
      </c>
      <c r="BB220" s="23">
        <v>420.82</v>
      </c>
      <c r="BC220" s="23">
        <v>39.99</v>
      </c>
      <c r="BD220" s="23">
        <v>16.79</v>
      </c>
      <c r="BE220" s="95">
        <v>25970.68</v>
      </c>
      <c r="BF220" s="125">
        <v>4017.89</v>
      </c>
      <c r="BG220" s="66">
        <v>28963.68</v>
      </c>
      <c r="BH220" s="170">
        <v>2087.9699999999998</v>
      </c>
      <c r="BI220" s="152">
        <v>145206.9</v>
      </c>
      <c r="BJ220" s="186">
        <v>20545.61</v>
      </c>
    </row>
    <row r="221" spans="1:62" x14ac:dyDescent="0.25">
      <c r="A221" s="266"/>
      <c r="B221" s="269"/>
      <c r="C221" s="21">
        <v>10</v>
      </c>
      <c r="D221" s="241">
        <v>214</v>
      </c>
      <c r="E221" s="66">
        <v>6624.01</v>
      </c>
      <c r="F221" s="63">
        <v>1936.59</v>
      </c>
      <c r="G221" s="64"/>
      <c r="H221" s="64"/>
      <c r="I221" s="64"/>
      <c r="J221" s="64"/>
      <c r="K221" s="65">
        <v>550.74</v>
      </c>
      <c r="L221" s="23">
        <v>194.17</v>
      </c>
      <c r="M221" s="22">
        <v>5677.56</v>
      </c>
      <c r="N221" s="22">
        <v>1952.57</v>
      </c>
      <c r="O221" s="95">
        <v>12852.3</v>
      </c>
      <c r="P221" s="125">
        <v>4083.34</v>
      </c>
      <c r="Q221" s="66">
        <v>2760.49</v>
      </c>
      <c r="R221" s="23">
        <v>597.30999999999995</v>
      </c>
      <c r="S221" s="23">
        <v>11.56</v>
      </c>
      <c r="T221" s="23">
        <v>13.73</v>
      </c>
      <c r="U221" s="23">
        <v>436.51</v>
      </c>
      <c r="V221" s="23">
        <v>147.96</v>
      </c>
      <c r="W221" s="23">
        <v>0.05</v>
      </c>
      <c r="X221" s="23">
        <v>7.0000000000000007E-2</v>
      </c>
      <c r="Y221" s="95">
        <v>3208.61</v>
      </c>
      <c r="Z221" s="139">
        <v>759.07</v>
      </c>
      <c r="AA221" s="66">
        <v>10564.32</v>
      </c>
      <c r="AB221" s="23">
        <v>521.70000000000005</v>
      </c>
      <c r="AC221" s="22">
        <v>4130.67</v>
      </c>
      <c r="AD221" s="23">
        <v>673.13</v>
      </c>
      <c r="AE221" s="22">
        <v>1947.41</v>
      </c>
      <c r="AF221" s="23">
        <v>163.82</v>
      </c>
      <c r="AG221" s="23">
        <v>279.52999999999997</v>
      </c>
      <c r="AH221" s="23">
        <v>81.03</v>
      </c>
      <c r="AI221" s="95">
        <v>16921.919999999998</v>
      </c>
      <c r="AJ221" s="125">
        <v>1439.68</v>
      </c>
      <c r="AK221" s="66">
        <v>51974.63</v>
      </c>
      <c r="AL221" s="22">
        <v>7169.89</v>
      </c>
      <c r="AM221" s="22">
        <v>4808.3900000000003</v>
      </c>
      <c r="AN221" s="23">
        <v>400.06</v>
      </c>
      <c r="AO221" s="22">
        <v>3412.86</v>
      </c>
      <c r="AP221" s="23">
        <v>515.16</v>
      </c>
      <c r="AQ221" s="23">
        <v>61.42</v>
      </c>
      <c r="AR221" s="23">
        <v>35.04</v>
      </c>
      <c r="AS221" s="22">
        <v>1276.17</v>
      </c>
      <c r="AT221" s="23">
        <v>151.12</v>
      </c>
      <c r="AU221" s="95">
        <v>61533.46</v>
      </c>
      <c r="AV221" s="125">
        <v>8271.2800000000007</v>
      </c>
      <c r="AW221" s="66">
        <v>15852.02</v>
      </c>
      <c r="AX221" s="22">
        <v>2385.7800000000002</v>
      </c>
      <c r="AY221" s="22">
        <v>8690.14</v>
      </c>
      <c r="AZ221" s="22">
        <v>1266.24</v>
      </c>
      <c r="BA221" s="22">
        <v>2239.7600000000002</v>
      </c>
      <c r="BB221" s="23">
        <v>366.93</v>
      </c>
      <c r="BC221" s="23">
        <v>56.85</v>
      </c>
      <c r="BD221" s="23">
        <v>11.77</v>
      </c>
      <c r="BE221" s="95">
        <v>26838.76</v>
      </c>
      <c r="BF221" s="125">
        <v>4030.72</v>
      </c>
      <c r="BG221" s="66">
        <v>29804.25</v>
      </c>
      <c r="BH221" s="170">
        <v>1943.11</v>
      </c>
      <c r="BI221" s="152">
        <v>151159.31</v>
      </c>
      <c r="BJ221" s="186">
        <v>20527.189999999999</v>
      </c>
    </row>
    <row r="222" spans="1:62" x14ac:dyDescent="0.25">
      <c r="A222" s="266"/>
      <c r="B222" s="269"/>
      <c r="C222" s="21">
        <v>11</v>
      </c>
      <c r="D222" s="241">
        <v>215</v>
      </c>
      <c r="E222" s="66">
        <v>6550.79</v>
      </c>
      <c r="F222" s="63">
        <v>1831.65</v>
      </c>
      <c r="G222" s="64"/>
      <c r="H222" s="64"/>
      <c r="I222" s="64"/>
      <c r="J222" s="64"/>
      <c r="K222" s="65">
        <v>461.4</v>
      </c>
      <c r="L222" s="23">
        <v>147.62</v>
      </c>
      <c r="M222" s="22">
        <v>5065.8900000000003</v>
      </c>
      <c r="N222" s="22">
        <v>1758.98</v>
      </c>
      <c r="O222" s="95">
        <v>12078.08</v>
      </c>
      <c r="P222" s="125">
        <v>3738.26</v>
      </c>
      <c r="Q222" s="66">
        <v>3386.93</v>
      </c>
      <c r="R222" s="23">
        <v>765.44</v>
      </c>
      <c r="S222" s="23">
        <v>20.86</v>
      </c>
      <c r="T222" s="23">
        <v>27.02</v>
      </c>
      <c r="U222" s="23">
        <v>406.98</v>
      </c>
      <c r="V222" s="23">
        <v>149.69999999999999</v>
      </c>
      <c r="W222" s="23">
        <v>0</v>
      </c>
      <c r="X222" s="23">
        <v>0</v>
      </c>
      <c r="Y222" s="95">
        <v>3814.77</v>
      </c>
      <c r="Z222" s="139">
        <v>942.16</v>
      </c>
      <c r="AA222" s="66">
        <v>11423.72</v>
      </c>
      <c r="AB222" s="23">
        <v>551.17999999999995</v>
      </c>
      <c r="AC222" s="22">
        <v>3891.95</v>
      </c>
      <c r="AD222" s="23">
        <v>627.79</v>
      </c>
      <c r="AE222" s="22">
        <v>1159.02</v>
      </c>
      <c r="AF222" s="23">
        <v>116.51</v>
      </c>
      <c r="AG222" s="23">
        <v>272.19</v>
      </c>
      <c r="AH222" s="23">
        <v>79.599999999999994</v>
      </c>
      <c r="AI222" s="95">
        <v>16746.88</v>
      </c>
      <c r="AJ222" s="125">
        <v>1375.08</v>
      </c>
      <c r="AK222" s="66">
        <v>47767.25</v>
      </c>
      <c r="AL222" s="22">
        <v>6594.52</v>
      </c>
      <c r="AM222" s="22">
        <v>4967.6099999999997</v>
      </c>
      <c r="AN222" s="23">
        <v>422.52</v>
      </c>
      <c r="AO222" s="22">
        <v>3217</v>
      </c>
      <c r="AP222" s="23">
        <v>476.96</v>
      </c>
      <c r="AQ222" s="23">
        <v>60.94</v>
      </c>
      <c r="AR222" s="23">
        <v>35.68</v>
      </c>
      <c r="AS222" s="22">
        <v>1588.08</v>
      </c>
      <c r="AT222" s="23">
        <v>160.6</v>
      </c>
      <c r="AU222" s="95">
        <v>57600.88</v>
      </c>
      <c r="AV222" s="125">
        <v>7690.29</v>
      </c>
      <c r="AW222" s="66">
        <v>15549.26</v>
      </c>
      <c r="AX222" s="22">
        <v>2361.84</v>
      </c>
      <c r="AY222" s="22">
        <v>7902.47</v>
      </c>
      <c r="AZ222" s="22">
        <v>1127.27</v>
      </c>
      <c r="BA222" s="22">
        <v>2725.74</v>
      </c>
      <c r="BB222" s="23">
        <v>422.48</v>
      </c>
      <c r="BC222" s="23">
        <v>32.950000000000003</v>
      </c>
      <c r="BD222" s="23">
        <v>13.05</v>
      </c>
      <c r="BE222" s="95">
        <v>26210.41</v>
      </c>
      <c r="BF222" s="125">
        <v>3924.65</v>
      </c>
      <c r="BG222" s="66">
        <v>30522.720000000001</v>
      </c>
      <c r="BH222" s="170">
        <v>1986.72</v>
      </c>
      <c r="BI222" s="152">
        <v>146973.74</v>
      </c>
      <c r="BJ222" s="186">
        <v>19657.150000000001</v>
      </c>
    </row>
    <row r="223" spans="1:62" x14ac:dyDescent="0.25">
      <c r="A223" s="267"/>
      <c r="B223" s="270"/>
      <c r="C223" s="21">
        <v>12</v>
      </c>
      <c r="D223" s="241">
        <v>216</v>
      </c>
      <c r="E223" s="200">
        <v>6691.38</v>
      </c>
      <c r="F223" s="196">
        <v>2050.2199999999998</v>
      </c>
      <c r="G223" s="64"/>
      <c r="H223" s="64"/>
      <c r="I223" s="64"/>
      <c r="J223" s="64"/>
      <c r="K223" s="197">
        <v>291.33</v>
      </c>
      <c r="L223" s="198">
        <v>126.53</v>
      </c>
      <c r="M223" s="195">
        <v>4331.07</v>
      </c>
      <c r="N223" s="195">
        <v>1579.65</v>
      </c>
      <c r="O223" s="199">
        <v>11313.78</v>
      </c>
      <c r="P223" s="133">
        <v>3756.4</v>
      </c>
      <c r="Q223" s="200">
        <v>3182.91</v>
      </c>
      <c r="R223" s="198">
        <v>745.03</v>
      </c>
      <c r="S223" s="198">
        <v>11.26</v>
      </c>
      <c r="T223" s="198">
        <v>12.31</v>
      </c>
      <c r="U223" s="198">
        <v>480.96</v>
      </c>
      <c r="V223" s="198">
        <v>170.06</v>
      </c>
      <c r="W223" s="198">
        <v>0</v>
      </c>
      <c r="X223" s="198">
        <v>0</v>
      </c>
      <c r="Y223" s="199">
        <v>3675.13</v>
      </c>
      <c r="Z223" s="145">
        <v>927.41</v>
      </c>
      <c r="AA223" s="200">
        <v>14190.1</v>
      </c>
      <c r="AB223" s="198">
        <v>658.47</v>
      </c>
      <c r="AC223" s="195">
        <v>3098.07</v>
      </c>
      <c r="AD223" s="198">
        <v>494.75</v>
      </c>
      <c r="AE223" s="195">
        <v>1002.45</v>
      </c>
      <c r="AF223" s="198">
        <v>109.69</v>
      </c>
      <c r="AG223" s="198">
        <v>306.52999999999997</v>
      </c>
      <c r="AH223" s="198">
        <v>74.489999999999995</v>
      </c>
      <c r="AI223" s="199">
        <v>18597.150000000001</v>
      </c>
      <c r="AJ223" s="133">
        <v>1337.4</v>
      </c>
      <c r="AK223" s="200">
        <v>46214.74</v>
      </c>
      <c r="AL223" s="195">
        <v>6774.11</v>
      </c>
      <c r="AM223" s="195">
        <v>4498.3999999999996</v>
      </c>
      <c r="AN223" s="198">
        <v>389.57</v>
      </c>
      <c r="AO223" s="195">
        <v>3351.46</v>
      </c>
      <c r="AP223" s="198">
        <v>534.14</v>
      </c>
      <c r="AQ223" s="198">
        <v>51.24</v>
      </c>
      <c r="AR223" s="198">
        <v>31.5</v>
      </c>
      <c r="AS223" s="195">
        <v>1492.05</v>
      </c>
      <c r="AT223" s="198">
        <v>165.82</v>
      </c>
      <c r="AU223" s="199">
        <v>55607.88</v>
      </c>
      <c r="AV223" s="133">
        <v>7895.14</v>
      </c>
      <c r="AW223" s="200">
        <v>14834.77</v>
      </c>
      <c r="AX223" s="195">
        <v>2283.04</v>
      </c>
      <c r="AY223" s="195">
        <v>7129.5</v>
      </c>
      <c r="AZ223" s="195">
        <v>1048.18</v>
      </c>
      <c r="BA223" s="195">
        <v>2180</v>
      </c>
      <c r="BB223" s="198">
        <v>363.15</v>
      </c>
      <c r="BC223" s="198">
        <v>30.22</v>
      </c>
      <c r="BD223" s="198">
        <v>11.43</v>
      </c>
      <c r="BE223" s="199">
        <v>24174.49</v>
      </c>
      <c r="BF223" s="133">
        <v>3705.81</v>
      </c>
      <c r="BG223" s="200">
        <v>35227.519999999997</v>
      </c>
      <c r="BH223" s="180">
        <v>2120.29</v>
      </c>
      <c r="BI223" s="160">
        <v>148595.94</v>
      </c>
      <c r="BJ223" s="194">
        <v>19742.45</v>
      </c>
    </row>
    <row r="224" spans="1:62" x14ac:dyDescent="0.25">
      <c r="E224" s="86"/>
      <c r="F224" s="86"/>
      <c r="G224" s="87"/>
      <c r="H224" s="87"/>
      <c r="I224" s="87"/>
      <c r="J224" s="87"/>
      <c r="K224" s="86"/>
      <c r="L224" s="86"/>
      <c r="M224" s="86"/>
      <c r="N224" s="86"/>
      <c r="O224" s="103"/>
      <c r="P224" s="103"/>
      <c r="Q224" s="86"/>
      <c r="R224" s="86"/>
      <c r="S224" s="88"/>
      <c r="T224" s="88"/>
      <c r="U224" s="86"/>
      <c r="V224" s="86"/>
      <c r="W224" s="88"/>
      <c r="X224" s="88"/>
      <c r="Y224" s="103"/>
      <c r="Z224" s="103"/>
      <c r="AA224" s="86"/>
      <c r="AB224" s="86"/>
      <c r="AC224" s="86"/>
      <c r="AD224" s="86"/>
      <c r="AE224" s="86"/>
      <c r="AF224" s="86"/>
      <c r="AG224" s="86"/>
      <c r="AH224" s="88"/>
      <c r="AI224" s="103"/>
      <c r="AJ224" s="103"/>
      <c r="AK224" s="86"/>
      <c r="AL224" s="86"/>
      <c r="AM224" s="86"/>
      <c r="AN224" s="86"/>
      <c r="AO224" s="86"/>
      <c r="AP224" s="86"/>
      <c r="AQ224" s="88"/>
      <c r="AR224" s="88"/>
      <c r="AS224" s="86"/>
      <c r="AT224" s="86"/>
      <c r="AU224" s="103"/>
      <c r="AV224" s="103"/>
      <c r="AW224" s="86"/>
      <c r="AX224" s="86"/>
      <c r="AY224" s="86"/>
      <c r="AZ224" s="86"/>
      <c r="BA224" s="86"/>
      <c r="BB224" s="86"/>
      <c r="BC224" s="88"/>
      <c r="BD224" s="88"/>
      <c r="BE224" s="103"/>
      <c r="BF224" s="103"/>
      <c r="BG224" s="86"/>
      <c r="BH224" s="86"/>
      <c r="BI224" s="110"/>
      <c r="BJ224" s="110"/>
    </row>
    <row r="225" spans="6:55" x14ac:dyDescent="0.25">
      <c r="L225" s="5"/>
      <c r="BA225" s="1"/>
    </row>
    <row r="226" spans="6:55" x14ac:dyDescent="0.25">
      <c r="F226" s="1"/>
      <c r="G226" s="1"/>
      <c r="H226" s="1"/>
      <c r="I226" s="1"/>
      <c r="J226" s="1"/>
      <c r="K226" s="1"/>
      <c r="L226" s="1"/>
      <c r="M226" s="1"/>
      <c r="N226" s="1"/>
      <c r="O226" s="105"/>
      <c r="P226" s="105"/>
      <c r="Q226" s="1"/>
      <c r="R226" s="1"/>
      <c r="S226" s="1"/>
      <c r="T226" s="1"/>
      <c r="U226" s="1"/>
      <c r="V226" s="1"/>
      <c r="W226" s="1"/>
      <c r="X226" s="1"/>
      <c r="Y226" s="105"/>
      <c r="Z226" s="105"/>
      <c r="AA226" s="1"/>
      <c r="AB226" s="1"/>
      <c r="AC226" s="1"/>
      <c r="AD226" s="1"/>
      <c r="AE226" s="1"/>
      <c r="AF226" s="1"/>
      <c r="AI226" s="105"/>
      <c r="AJ226" s="105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05"/>
      <c r="AV226" s="105"/>
      <c r="AW226" s="1"/>
      <c r="AX226" s="1"/>
      <c r="AY226" s="1"/>
      <c r="AZ226" s="1"/>
      <c r="BA226" s="1"/>
      <c r="BB226" s="1"/>
      <c r="BC226" s="1"/>
    </row>
    <row r="227" spans="6:55" x14ac:dyDescent="0.25">
      <c r="AF227" s="1"/>
    </row>
    <row r="228" spans="6:55" x14ac:dyDescent="0.25">
      <c r="AF228" s="1"/>
    </row>
    <row r="229" spans="6:55" x14ac:dyDescent="0.25">
      <c r="AF229" s="1"/>
    </row>
    <row r="230" spans="6:55" x14ac:dyDescent="0.25">
      <c r="F230" s="1"/>
      <c r="G230" s="1"/>
      <c r="H230" s="1"/>
      <c r="I230" s="1"/>
      <c r="J230" s="1"/>
      <c r="K230" s="1"/>
      <c r="L230" s="1"/>
      <c r="M230" s="1"/>
      <c r="N230" s="1"/>
      <c r="O230" s="105"/>
      <c r="P230" s="105"/>
      <c r="Q230" s="1"/>
      <c r="R230" s="1"/>
      <c r="S230" s="1"/>
      <c r="T230" s="1"/>
      <c r="U230" s="1"/>
      <c r="V230" s="1"/>
      <c r="W230" s="1"/>
      <c r="X230" s="1"/>
      <c r="Y230" s="105"/>
      <c r="Z230" s="105"/>
      <c r="AA230" s="1"/>
      <c r="AB230" s="1"/>
      <c r="AC230" s="1"/>
      <c r="AD230" s="1"/>
      <c r="AE230" s="1"/>
      <c r="AH230" s="1"/>
      <c r="AI230" s="105"/>
      <c r="AJ230" s="105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05"/>
      <c r="AV230" s="105"/>
      <c r="AW230" s="1"/>
      <c r="AX230" s="1"/>
      <c r="AY230" s="1"/>
      <c r="AZ230" s="1"/>
      <c r="BA230" s="1"/>
      <c r="BB230" s="1"/>
      <c r="BC230" s="1"/>
    </row>
    <row r="231" spans="6:55" x14ac:dyDescent="0.25">
      <c r="F231" s="1"/>
      <c r="G231" s="1"/>
      <c r="H231" s="1"/>
      <c r="I231" s="1"/>
      <c r="J231" s="1"/>
      <c r="K231" s="1"/>
      <c r="L231" s="1"/>
      <c r="M231" s="1"/>
      <c r="N231" s="1"/>
      <c r="O231" s="105"/>
      <c r="P231" s="105"/>
      <c r="Q231" s="1"/>
      <c r="R231" s="1"/>
      <c r="S231" s="1"/>
      <c r="T231" s="1"/>
      <c r="U231" s="1"/>
      <c r="V231" s="1"/>
      <c r="W231" s="1"/>
      <c r="X231" s="1"/>
      <c r="Y231" s="105"/>
      <c r="Z231" s="105"/>
      <c r="AA231" s="1"/>
      <c r="AB231" s="1"/>
      <c r="AC231" s="1"/>
      <c r="AD231" s="1"/>
      <c r="AE231" s="1"/>
      <c r="AH231" s="1"/>
      <c r="AI231" s="105"/>
      <c r="AJ231" s="105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05"/>
      <c r="AV231" s="105"/>
      <c r="AW231" s="1"/>
      <c r="AX231" s="1"/>
      <c r="AY231" s="1"/>
      <c r="AZ231" s="1"/>
      <c r="BA231" s="1"/>
      <c r="BB231" s="1"/>
      <c r="BC231" s="1"/>
    </row>
    <row r="232" spans="6:55" x14ac:dyDescent="0.25">
      <c r="F232" s="1"/>
      <c r="G232" s="1"/>
      <c r="H232" s="1"/>
      <c r="I232" s="1"/>
      <c r="J232" s="1"/>
      <c r="K232" s="1"/>
      <c r="L232" s="1"/>
      <c r="M232" s="1"/>
      <c r="N232" s="1"/>
      <c r="O232" s="105"/>
      <c r="P232" s="105"/>
      <c r="Q232" s="1"/>
      <c r="R232" s="1"/>
      <c r="S232" s="1"/>
      <c r="T232" s="1"/>
      <c r="U232" s="1"/>
      <c r="V232" s="1"/>
      <c r="W232" s="1"/>
      <c r="X232" s="1"/>
      <c r="Y232" s="105"/>
      <c r="Z232" s="105"/>
      <c r="AA232" s="1"/>
      <c r="AB232" s="1"/>
      <c r="AC232" s="1"/>
      <c r="AD232" s="1"/>
      <c r="AE232" s="1"/>
      <c r="AH232" s="1"/>
      <c r="AI232" s="105"/>
      <c r="AJ232" s="105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05"/>
      <c r="AV232" s="105"/>
      <c r="AW232" s="1"/>
      <c r="AX232" s="1"/>
      <c r="AY232" s="1"/>
      <c r="AZ232" s="1"/>
      <c r="BA232" s="1"/>
      <c r="BB232" s="1"/>
      <c r="BC232" s="1"/>
    </row>
    <row r="233" spans="6:55" x14ac:dyDescent="0.25">
      <c r="F233" s="1"/>
      <c r="G233" s="1"/>
      <c r="H233" s="1"/>
      <c r="I233" s="1"/>
      <c r="J233" s="1"/>
      <c r="K233" s="1"/>
      <c r="L233" s="1"/>
      <c r="M233" s="1"/>
      <c r="N233" s="1"/>
      <c r="O233" s="105"/>
      <c r="P233" s="105"/>
      <c r="Q233" s="1"/>
      <c r="R233" s="1"/>
      <c r="S233" s="1"/>
      <c r="T233" s="1"/>
      <c r="U233" s="1"/>
      <c r="V233" s="1"/>
      <c r="W233" s="1"/>
      <c r="X233" s="1"/>
      <c r="Y233" s="105"/>
      <c r="Z233" s="105"/>
      <c r="AA233" s="1"/>
      <c r="AB233" s="1"/>
      <c r="AC233" s="1"/>
      <c r="AD233" s="1"/>
      <c r="AE233" s="1"/>
      <c r="AH233" s="1"/>
      <c r="AI233" s="105"/>
      <c r="AJ233" s="105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05"/>
      <c r="AV233" s="105"/>
      <c r="AW233" s="1"/>
      <c r="AX233" s="1"/>
      <c r="AY233" s="1"/>
      <c r="AZ233" s="1"/>
      <c r="BA233" s="1"/>
      <c r="BB233" s="1"/>
      <c r="BC233" s="1"/>
    </row>
    <row r="234" spans="6:55" x14ac:dyDescent="0.25">
      <c r="F234" s="1"/>
      <c r="G234" s="1"/>
      <c r="H234" s="1"/>
      <c r="I234" s="1"/>
      <c r="J234" s="1"/>
      <c r="K234" s="1"/>
      <c r="L234" s="1"/>
      <c r="M234" s="1"/>
      <c r="N234" s="1"/>
      <c r="O234" s="105"/>
      <c r="P234" s="105"/>
      <c r="Q234" s="1"/>
      <c r="R234" s="1"/>
      <c r="S234" s="1"/>
      <c r="T234" s="1"/>
      <c r="U234" s="1"/>
      <c r="V234" s="1"/>
      <c r="W234" s="1"/>
      <c r="X234" s="1"/>
      <c r="Y234" s="105"/>
      <c r="Z234" s="105"/>
      <c r="AA234" s="1"/>
      <c r="AB234" s="1"/>
      <c r="AC234" s="1"/>
      <c r="AD234" s="1"/>
      <c r="AE234" s="1"/>
      <c r="AH234" s="1"/>
      <c r="AI234" s="105"/>
      <c r="AJ234" s="105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05"/>
      <c r="AV234" s="105"/>
      <c r="AW234" s="1"/>
      <c r="AX234" s="1"/>
      <c r="AY234" s="1"/>
      <c r="AZ234" s="1"/>
      <c r="BA234" s="1"/>
      <c r="BB234" s="1"/>
      <c r="BC234" s="1"/>
    </row>
    <row r="235" spans="6:55" x14ac:dyDescent="0.25">
      <c r="F235" s="1"/>
      <c r="G235" s="1"/>
      <c r="H235" s="1"/>
      <c r="I235" s="1"/>
      <c r="J235" s="1"/>
      <c r="K235" s="1"/>
      <c r="L235" s="1"/>
      <c r="M235" s="1"/>
      <c r="N235" s="1"/>
      <c r="O235" s="105"/>
      <c r="P235" s="105"/>
      <c r="Q235" s="1"/>
      <c r="R235" s="1"/>
      <c r="S235" s="1"/>
      <c r="T235" s="1"/>
      <c r="U235" s="1"/>
      <c r="V235" s="1"/>
      <c r="W235" s="1"/>
      <c r="X235" s="1"/>
      <c r="Y235" s="105"/>
      <c r="Z235" s="105"/>
      <c r="AA235" s="1"/>
      <c r="AB235" s="1"/>
      <c r="AC235" s="1"/>
      <c r="AD235" s="1"/>
      <c r="AE235" s="1"/>
      <c r="AH235" s="1"/>
      <c r="AI235" s="105"/>
      <c r="AJ235" s="105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05"/>
      <c r="AV235" s="105"/>
      <c r="AW235" s="1"/>
      <c r="AX235" s="1"/>
      <c r="AY235" s="1"/>
      <c r="AZ235" s="1"/>
      <c r="BA235" s="1"/>
      <c r="BB235" s="1"/>
      <c r="BC235" s="1"/>
    </row>
    <row r="236" spans="6:55" x14ac:dyDescent="0.25">
      <c r="F236" s="1"/>
      <c r="G236" s="1"/>
      <c r="H236" s="1"/>
      <c r="I236" s="1"/>
      <c r="J236" s="1"/>
      <c r="K236" s="1"/>
      <c r="L236" s="1"/>
      <c r="M236" s="1"/>
      <c r="N236" s="1"/>
      <c r="O236" s="105"/>
      <c r="P236" s="105"/>
      <c r="Q236" s="1"/>
      <c r="R236" s="1"/>
      <c r="S236" s="1"/>
      <c r="T236" s="1"/>
      <c r="U236" s="1"/>
      <c r="V236" s="1"/>
      <c r="W236" s="1"/>
      <c r="X236" s="1"/>
      <c r="Y236" s="105"/>
      <c r="Z236" s="105"/>
      <c r="AA236" s="1"/>
      <c r="AB236" s="1"/>
      <c r="AC236" s="1"/>
      <c r="AD236" s="1"/>
      <c r="AE236" s="1"/>
      <c r="AH236" s="1"/>
      <c r="AI236" s="105"/>
      <c r="AJ236" s="105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05"/>
      <c r="AV236" s="105"/>
      <c r="AW236" s="1"/>
      <c r="AX236" s="1"/>
      <c r="AY236" s="1"/>
      <c r="AZ236" s="1"/>
      <c r="BA236" s="1"/>
      <c r="BB236" s="1"/>
      <c r="BC236" s="1"/>
    </row>
    <row r="237" spans="6:55" x14ac:dyDescent="0.25">
      <c r="F237" s="1"/>
      <c r="G237" s="1"/>
      <c r="H237" s="1"/>
      <c r="I237" s="1"/>
      <c r="J237" s="1"/>
      <c r="K237" s="1"/>
      <c r="L237" s="1"/>
      <c r="M237" s="1"/>
      <c r="N237" s="1"/>
      <c r="O237" s="105"/>
      <c r="P237" s="105"/>
      <c r="Q237" s="1"/>
      <c r="R237" s="1"/>
      <c r="S237" s="1"/>
      <c r="T237" s="1"/>
      <c r="U237" s="1"/>
      <c r="V237" s="1"/>
      <c r="W237" s="1"/>
      <c r="X237" s="1"/>
      <c r="Y237" s="105"/>
      <c r="Z237" s="105"/>
      <c r="AA237" s="1"/>
      <c r="AB237" s="1"/>
      <c r="AC237" s="1"/>
      <c r="AD237" s="1"/>
      <c r="AE237" s="1"/>
      <c r="AH237" s="1"/>
      <c r="AI237" s="105"/>
      <c r="AJ237" s="105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05"/>
      <c r="AV237" s="105"/>
      <c r="AW237" s="1"/>
      <c r="AX237" s="1"/>
      <c r="AY237" s="1"/>
      <c r="AZ237" s="1"/>
      <c r="BA237" s="1"/>
      <c r="BB237" s="1"/>
      <c r="BC237" s="1"/>
    </row>
    <row r="238" spans="6:55" x14ac:dyDescent="0.25">
      <c r="F238" s="1"/>
      <c r="G238" s="1"/>
      <c r="H238" s="1"/>
      <c r="I238" s="1"/>
      <c r="J238" s="1"/>
      <c r="K238" s="1"/>
      <c r="L238" s="1"/>
      <c r="M238" s="1"/>
      <c r="N238" s="1"/>
      <c r="O238" s="105"/>
      <c r="P238" s="105"/>
      <c r="Q238" s="1"/>
      <c r="R238" s="1"/>
      <c r="S238" s="1"/>
      <c r="T238" s="1"/>
      <c r="U238" s="1"/>
      <c r="V238" s="1"/>
      <c r="W238" s="1"/>
      <c r="X238" s="1"/>
      <c r="Y238" s="105"/>
      <c r="Z238" s="105"/>
      <c r="AA238" s="1"/>
      <c r="AB238" s="1"/>
      <c r="AC238" s="1"/>
      <c r="AD238" s="1"/>
      <c r="AE238" s="1"/>
      <c r="AH238" s="1"/>
      <c r="AI238" s="105"/>
      <c r="AJ238" s="105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05"/>
      <c r="AV238" s="105"/>
      <c r="AW238" s="1"/>
      <c r="AX238" s="1"/>
      <c r="AY238" s="1"/>
      <c r="AZ238" s="1"/>
      <c r="BA238" s="1"/>
      <c r="BB238" s="1"/>
      <c r="BC238" s="1"/>
    </row>
    <row r="239" spans="6:55" x14ac:dyDescent="0.25">
      <c r="F239" s="1"/>
      <c r="G239" s="1"/>
      <c r="H239" s="1"/>
      <c r="I239" s="1"/>
      <c r="J239" s="1"/>
      <c r="K239" s="1"/>
      <c r="L239" s="1"/>
      <c r="M239" s="1"/>
      <c r="N239" s="1"/>
      <c r="O239" s="105"/>
      <c r="P239" s="105"/>
      <c r="Q239" s="1"/>
      <c r="R239" s="1"/>
      <c r="S239" s="1"/>
      <c r="T239" s="1"/>
      <c r="U239" s="1"/>
      <c r="V239" s="1"/>
      <c r="W239" s="1"/>
      <c r="X239" s="1"/>
      <c r="Y239" s="105"/>
      <c r="Z239" s="105"/>
      <c r="AA239" s="1"/>
      <c r="AB239" s="1"/>
      <c r="AC239" s="1"/>
      <c r="AD239" s="1"/>
      <c r="AE239" s="1"/>
      <c r="AH239" s="1"/>
      <c r="AI239" s="105"/>
      <c r="AJ239" s="105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05"/>
      <c r="AV239" s="105"/>
      <c r="AW239" s="1"/>
      <c r="AX239" s="1"/>
      <c r="AY239" s="1"/>
      <c r="AZ239" s="1"/>
      <c r="BA239" s="1"/>
      <c r="BB239" s="1"/>
      <c r="BC239" s="1"/>
    </row>
    <row r="240" spans="6:55" x14ac:dyDescent="0.25">
      <c r="F240" s="1"/>
      <c r="G240" s="1"/>
      <c r="H240" s="1"/>
      <c r="I240" s="1"/>
      <c r="J240" s="1"/>
      <c r="K240" s="1"/>
      <c r="L240" s="1"/>
      <c r="M240" s="1"/>
      <c r="N240" s="1"/>
      <c r="O240" s="105"/>
      <c r="P240" s="105"/>
      <c r="Q240" s="1"/>
      <c r="R240" s="1"/>
      <c r="S240" s="1"/>
      <c r="T240" s="1"/>
      <c r="U240" s="1"/>
      <c r="V240" s="1"/>
      <c r="W240" s="1"/>
      <c r="X240" s="1"/>
      <c r="Y240" s="105"/>
      <c r="Z240" s="105"/>
      <c r="AA240" s="1"/>
      <c r="AB240" s="1"/>
      <c r="AC240" s="1"/>
      <c r="AD240" s="1"/>
      <c r="AE240" s="1"/>
      <c r="AI240" s="105"/>
    </row>
  </sheetData>
  <mergeCells count="105">
    <mergeCell ref="A92:A103"/>
    <mergeCell ref="B92:B103"/>
    <mergeCell ref="A104:A115"/>
    <mergeCell ref="B104:B115"/>
    <mergeCell ref="A116:A127"/>
    <mergeCell ref="B116:B127"/>
    <mergeCell ref="A80:A91"/>
    <mergeCell ref="B80:B91"/>
    <mergeCell ref="BI3:BJ6"/>
    <mergeCell ref="W5:X5"/>
    <mergeCell ref="W6:X6"/>
    <mergeCell ref="A56:A67"/>
    <mergeCell ref="B56:B67"/>
    <mergeCell ref="A68:A79"/>
    <mergeCell ref="B68:B79"/>
    <mergeCell ref="A20:A31"/>
    <mergeCell ref="B20:B31"/>
    <mergeCell ref="A32:A43"/>
    <mergeCell ref="B32:B43"/>
    <mergeCell ref="A44:A55"/>
    <mergeCell ref="B44:B55"/>
    <mergeCell ref="BG4:BH4"/>
    <mergeCell ref="AM6:AN6"/>
    <mergeCell ref="AO6:AP6"/>
    <mergeCell ref="AQ6:AR6"/>
    <mergeCell ref="AS6:AT6"/>
    <mergeCell ref="E3:BH3"/>
    <mergeCell ref="BE6:BF6"/>
    <mergeCell ref="AW6:AX6"/>
    <mergeCell ref="AY6:AZ6"/>
    <mergeCell ref="BA6:BB6"/>
    <mergeCell ref="BC6:BD6"/>
    <mergeCell ref="BG5:BH5"/>
    <mergeCell ref="BG6:BH6"/>
    <mergeCell ref="AW5:AX5"/>
    <mergeCell ref="AY5:AZ5"/>
    <mergeCell ref="BA5:BB5"/>
    <mergeCell ref="BC5:BD5"/>
    <mergeCell ref="AW4:BF4"/>
    <mergeCell ref="BE5:BF5"/>
    <mergeCell ref="AM5:AN5"/>
    <mergeCell ref="AO5:AP5"/>
    <mergeCell ref="S5:T5"/>
    <mergeCell ref="S6:T6"/>
    <mergeCell ref="U5:V5"/>
    <mergeCell ref="U6:V6"/>
    <mergeCell ref="Q6:R6"/>
    <mergeCell ref="Q5:R5"/>
    <mergeCell ref="AK5:AL5"/>
    <mergeCell ref="AK4:AV4"/>
    <mergeCell ref="AK6:AL6"/>
    <mergeCell ref="AA5:AB5"/>
    <mergeCell ref="AC5:AD5"/>
    <mergeCell ref="AE5:AF5"/>
    <mergeCell ref="AG5:AH5"/>
    <mergeCell ref="AI5:AJ5"/>
    <mergeCell ref="AI6:AJ6"/>
    <mergeCell ref="AA4:AJ4"/>
    <mergeCell ref="AA6:AB6"/>
    <mergeCell ref="AC6:AD6"/>
    <mergeCell ref="AE6:AF6"/>
    <mergeCell ref="AG6:AH6"/>
    <mergeCell ref="AQ5:AR5"/>
    <mergeCell ref="AS5:AT5"/>
    <mergeCell ref="AU5:AV5"/>
    <mergeCell ref="AU6:AV6"/>
    <mergeCell ref="O6:P6"/>
    <mergeCell ref="E5:F5"/>
    <mergeCell ref="E4:P4"/>
    <mergeCell ref="A8:A19"/>
    <mergeCell ref="B8:B19"/>
    <mergeCell ref="G5:H5"/>
    <mergeCell ref="I5:J5"/>
    <mergeCell ref="K5:L5"/>
    <mergeCell ref="M5:N5"/>
    <mergeCell ref="O5:P5"/>
    <mergeCell ref="E6:F6"/>
    <mergeCell ref="G6:H6"/>
    <mergeCell ref="I6:J6"/>
    <mergeCell ref="K6:L6"/>
    <mergeCell ref="M6:N6"/>
    <mergeCell ref="A1:S1"/>
    <mergeCell ref="A188:A199"/>
    <mergeCell ref="B188:B199"/>
    <mergeCell ref="A200:A211"/>
    <mergeCell ref="B200:B211"/>
    <mergeCell ref="A212:A223"/>
    <mergeCell ref="B212:B223"/>
    <mergeCell ref="A164:A175"/>
    <mergeCell ref="B164:B175"/>
    <mergeCell ref="B176:B187"/>
    <mergeCell ref="A176:A187"/>
    <mergeCell ref="A128:A139"/>
    <mergeCell ref="B128:B139"/>
    <mergeCell ref="A140:A151"/>
    <mergeCell ref="B140:B151"/>
    <mergeCell ref="A152:A163"/>
    <mergeCell ref="B152:B163"/>
    <mergeCell ref="Q4:Z4"/>
    <mergeCell ref="Y5:Z5"/>
    <mergeCell ref="Y6:Z6"/>
    <mergeCell ref="A3:A7"/>
    <mergeCell ref="B3:B7"/>
    <mergeCell ref="C3:C7"/>
    <mergeCell ref="D3:D7"/>
  </mergeCells>
  <pageMargins left="0.7" right="0.7" top="0.75" bottom="0.75" header="0.3" footer="0.3"/>
  <pageSetup scale="11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2213-F8C0-42ED-826E-503B7EB43AC3}">
  <dimension ref="A1:K31"/>
  <sheetViews>
    <sheetView workbookViewId="0">
      <selection activeCell="C3" sqref="C3:C5"/>
    </sheetView>
  </sheetViews>
  <sheetFormatPr defaultRowHeight="21" x14ac:dyDescent="0.25"/>
  <cols>
    <col min="1" max="1" width="10.5" style="390" customWidth="1"/>
    <col min="2" max="2" width="10.19921875" style="390" customWidth="1"/>
    <col min="3" max="3" width="8.796875" style="390"/>
    <col min="4" max="4" width="21" style="390" customWidth="1"/>
    <col min="5" max="5" width="16.09765625" style="390" customWidth="1"/>
    <col min="6" max="6" width="14.296875" style="390" customWidth="1"/>
    <col min="7" max="7" width="19.796875" style="390" customWidth="1"/>
    <col min="8" max="8" width="16.796875" style="390" customWidth="1"/>
    <col min="9" max="9" width="18.59765625" style="390" customWidth="1"/>
    <col min="10" max="10" width="13.59765625" style="390" customWidth="1"/>
    <col min="11" max="16384" width="8.796875" style="390"/>
  </cols>
  <sheetData>
    <row r="1" spans="1:11" ht="21.6" thickBot="1" x14ac:dyDescent="0.3">
      <c r="A1" s="389" t="s">
        <v>63</v>
      </c>
    </row>
    <row r="2" spans="1:11" ht="21.6" thickBot="1" x14ac:dyDescent="0.3">
      <c r="A2" s="394"/>
      <c r="B2" s="395"/>
      <c r="D2" s="412"/>
      <c r="E2" s="394"/>
    </row>
    <row r="3" spans="1:11" x14ac:dyDescent="0.25">
      <c r="A3" s="415" t="s">
        <v>18</v>
      </c>
      <c r="B3" s="415" t="s">
        <v>19</v>
      </c>
      <c r="C3" s="416" t="s">
        <v>17</v>
      </c>
      <c r="D3" s="417" t="s">
        <v>65</v>
      </c>
      <c r="E3" s="415"/>
      <c r="F3" s="415"/>
      <c r="G3" s="415"/>
      <c r="H3" s="415"/>
      <c r="I3" s="415"/>
      <c r="J3" s="416"/>
      <c r="K3" s="396"/>
    </row>
    <row r="4" spans="1:11" x14ac:dyDescent="0.25">
      <c r="A4" s="418"/>
      <c r="B4" s="418"/>
      <c r="C4" s="419"/>
      <c r="D4" s="413" t="s">
        <v>66</v>
      </c>
      <c r="E4" s="420" t="s">
        <v>67</v>
      </c>
      <c r="F4" s="420" t="s">
        <v>68</v>
      </c>
      <c r="G4" s="420" t="s">
        <v>69</v>
      </c>
      <c r="H4" s="420" t="s">
        <v>70</v>
      </c>
      <c r="I4" s="421" t="s">
        <v>71</v>
      </c>
      <c r="J4" s="431" t="s">
        <v>59</v>
      </c>
      <c r="K4" s="396"/>
    </row>
    <row r="5" spans="1:11" ht="21.6" thickBot="1" x14ac:dyDescent="0.3">
      <c r="A5" s="422"/>
      <c r="B5" s="422"/>
      <c r="C5" s="423"/>
      <c r="D5" s="414" t="s">
        <v>72</v>
      </c>
      <c r="E5" s="424" t="s">
        <v>73</v>
      </c>
      <c r="F5" s="424" t="s">
        <v>74</v>
      </c>
      <c r="G5" s="424" t="s">
        <v>75</v>
      </c>
      <c r="H5" s="424" t="s">
        <v>76</v>
      </c>
      <c r="I5" s="425" t="s">
        <v>77</v>
      </c>
      <c r="J5" s="432"/>
      <c r="K5" s="396"/>
    </row>
    <row r="6" spans="1:11" x14ac:dyDescent="0.25">
      <c r="A6" s="405">
        <v>2541</v>
      </c>
      <c r="B6" s="393">
        <v>1998</v>
      </c>
      <c r="C6" s="409">
        <v>1</v>
      </c>
      <c r="D6" s="411">
        <v>2240.8000000000002</v>
      </c>
      <c r="E6" s="393">
        <v>350</v>
      </c>
      <c r="F6" s="393">
        <v>57.9</v>
      </c>
      <c r="G6" s="406">
        <v>188.2</v>
      </c>
      <c r="H6" s="408">
        <v>192.39999999999998</v>
      </c>
      <c r="I6" s="409">
        <v>64.8</v>
      </c>
      <c r="J6" s="426">
        <f>SUM(D6:I6)</f>
        <v>3094.1000000000004</v>
      </c>
      <c r="K6" s="396"/>
    </row>
    <row r="7" spans="1:11" x14ac:dyDescent="0.25">
      <c r="A7" s="403">
        <v>2542</v>
      </c>
      <c r="B7" s="391">
        <v>1999</v>
      </c>
      <c r="C7" s="398">
        <v>2</v>
      </c>
      <c r="D7" s="407">
        <v>2250.6</v>
      </c>
      <c r="E7" s="391">
        <v>362.5</v>
      </c>
      <c r="F7" s="391">
        <v>55.4</v>
      </c>
      <c r="G7" s="391">
        <v>174.4</v>
      </c>
      <c r="H7" s="391">
        <v>245.4</v>
      </c>
      <c r="I7" s="397">
        <v>84.6</v>
      </c>
      <c r="J7" s="427">
        <f t="shared" ref="J7:J30" si="0">SUM(D7:I7)</f>
        <v>3172.9</v>
      </c>
    </row>
    <row r="8" spans="1:11" x14ac:dyDescent="0.25">
      <c r="A8" s="403">
        <v>2543</v>
      </c>
      <c r="B8" s="391">
        <v>2000</v>
      </c>
      <c r="C8" s="398">
        <v>3</v>
      </c>
      <c r="D8" s="407">
        <v>2225.3000000000002</v>
      </c>
      <c r="E8" s="391">
        <v>397.8</v>
      </c>
      <c r="F8" s="391">
        <v>58.1</v>
      </c>
      <c r="G8" s="391">
        <v>177.5</v>
      </c>
      <c r="H8" s="391">
        <v>332.7</v>
      </c>
      <c r="I8" s="397">
        <v>139.80000000000001</v>
      </c>
      <c r="J8" s="427">
        <f t="shared" si="0"/>
        <v>3331.2000000000003</v>
      </c>
      <c r="K8" s="396"/>
    </row>
    <row r="9" spans="1:11" x14ac:dyDescent="0.25">
      <c r="A9" s="403">
        <v>2544</v>
      </c>
      <c r="B9" s="391">
        <v>2001</v>
      </c>
      <c r="C9" s="397">
        <v>4</v>
      </c>
      <c r="D9" s="403">
        <v>2231.4</v>
      </c>
      <c r="E9" s="391">
        <v>368.9</v>
      </c>
      <c r="F9" s="391">
        <v>50.3</v>
      </c>
      <c r="G9" s="391">
        <v>165.4</v>
      </c>
      <c r="H9" s="391">
        <v>300.89999999999998</v>
      </c>
      <c r="I9" s="397">
        <v>49.3</v>
      </c>
      <c r="J9" s="427">
        <f t="shared" si="0"/>
        <v>3166.2000000000007</v>
      </c>
      <c r="K9" s="396"/>
    </row>
    <row r="10" spans="1:11" x14ac:dyDescent="0.25">
      <c r="A10" s="403">
        <v>2545</v>
      </c>
      <c r="B10" s="391">
        <v>2002</v>
      </c>
      <c r="C10" s="398">
        <v>5</v>
      </c>
      <c r="D10" s="407">
        <v>2279.8000000000002</v>
      </c>
      <c r="E10" s="391">
        <v>350.6</v>
      </c>
      <c r="F10" s="391">
        <v>42.1</v>
      </c>
      <c r="G10" s="391">
        <v>184.8</v>
      </c>
      <c r="H10" s="391">
        <v>417.20000000000005</v>
      </c>
      <c r="I10" s="397">
        <v>29.3</v>
      </c>
      <c r="J10" s="427">
        <f t="shared" si="0"/>
        <v>3303.8</v>
      </c>
      <c r="K10" s="396"/>
    </row>
    <row r="11" spans="1:11" x14ac:dyDescent="0.25">
      <c r="A11" s="403">
        <v>2546</v>
      </c>
      <c r="B11" s="391">
        <v>2003</v>
      </c>
      <c r="C11" s="398">
        <v>6</v>
      </c>
      <c r="D11" s="407">
        <v>2304.6999999999998</v>
      </c>
      <c r="E11" s="391">
        <v>415.5</v>
      </c>
      <c r="F11" s="391">
        <v>43.6</v>
      </c>
      <c r="G11" s="391">
        <v>168.4</v>
      </c>
      <c r="H11" s="391">
        <v>413</v>
      </c>
      <c r="I11" s="397">
        <v>9.3000000000000007</v>
      </c>
      <c r="J11" s="427">
        <f t="shared" si="0"/>
        <v>3354.5</v>
      </c>
      <c r="K11" s="396"/>
    </row>
    <row r="12" spans="1:11" x14ac:dyDescent="0.25">
      <c r="A12" s="403">
        <v>2547</v>
      </c>
      <c r="B12" s="391">
        <v>2004</v>
      </c>
      <c r="C12" s="398">
        <v>7</v>
      </c>
      <c r="D12" s="407">
        <v>2331.8000000000002</v>
      </c>
      <c r="E12" s="391">
        <v>437.6</v>
      </c>
      <c r="F12" s="391">
        <v>42.2</v>
      </c>
      <c r="G12" s="391">
        <v>163.5</v>
      </c>
      <c r="H12" s="391">
        <v>395.2</v>
      </c>
      <c r="I12" s="397">
        <v>1.8</v>
      </c>
      <c r="J12" s="427">
        <f t="shared" si="0"/>
        <v>3372.1</v>
      </c>
      <c r="K12" s="396"/>
    </row>
    <row r="13" spans="1:11" x14ac:dyDescent="0.25">
      <c r="A13" s="403">
        <v>2548</v>
      </c>
      <c r="B13" s="391">
        <v>2005</v>
      </c>
      <c r="C13" s="398">
        <v>8</v>
      </c>
      <c r="D13" s="407">
        <v>2292.5</v>
      </c>
      <c r="E13" s="391">
        <v>482.8</v>
      </c>
      <c r="F13" s="391">
        <v>37.9</v>
      </c>
      <c r="G13" s="391">
        <v>159.4</v>
      </c>
      <c r="H13" s="391">
        <v>371.09999999999997</v>
      </c>
      <c r="I13" s="397">
        <v>36.700000000000003</v>
      </c>
      <c r="J13" s="427">
        <f t="shared" si="0"/>
        <v>3380.4</v>
      </c>
    </row>
    <row r="14" spans="1:11" x14ac:dyDescent="0.25">
      <c r="A14" s="403">
        <v>2549</v>
      </c>
      <c r="B14" s="391">
        <v>2006</v>
      </c>
      <c r="C14" s="398">
        <v>9</v>
      </c>
      <c r="D14" s="407">
        <v>2064.6999999999998</v>
      </c>
      <c r="E14" s="391">
        <v>570.1</v>
      </c>
      <c r="F14" s="391">
        <v>47.4</v>
      </c>
      <c r="G14" s="391">
        <v>147.5</v>
      </c>
      <c r="H14" s="391">
        <v>342.09999999999997</v>
      </c>
      <c r="I14" s="398">
        <v>139.9</v>
      </c>
      <c r="J14" s="428">
        <f t="shared" si="0"/>
        <v>3311.7</v>
      </c>
      <c r="K14" s="396"/>
    </row>
    <row r="15" spans="1:11" x14ac:dyDescent="0.25">
      <c r="A15" s="403">
        <v>2550</v>
      </c>
      <c r="B15" s="391">
        <v>2007</v>
      </c>
      <c r="C15" s="397">
        <v>10</v>
      </c>
      <c r="D15" s="403">
        <v>1837.9</v>
      </c>
      <c r="E15" s="391">
        <v>586.6</v>
      </c>
      <c r="F15" s="391">
        <v>35.1</v>
      </c>
      <c r="G15" s="391">
        <v>131.80000000000001</v>
      </c>
      <c r="H15" s="391">
        <v>324.90000000000003</v>
      </c>
      <c r="I15" s="397">
        <v>8.4</v>
      </c>
      <c r="J15" s="427">
        <f t="shared" si="0"/>
        <v>2924.7000000000003</v>
      </c>
      <c r="K15" s="396"/>
    </row>
    <row r="16" spans="1:11" x14ac:dyDescent="0.25">
      <c r="A16" s="403">
        <v>2551</v>
      </c>
      <c r="B16" s="391">
        <v>2008</v>
      </c>
      <c r="C16" s="398">
        <v>11</v>
      </c>
      <c r="D16" s="407">
        <v>1292.9000000000001</v>
      </c>
      <c r="E16" s="391">
        <v>560.6</v>
      </c>
      <c r="F16" s="391">
        <v>30.5</v>
      </c>
      <c r="G16" s="391">
        <v>113</v>
      </c>
      <c r="H16" s="391">
        <v>306.09999999999997</v>
      </c>
      <c r="I16" s="397">
        <v>150</v>
      </c>
      <c r="J16" s="427">
        <f t="shared" si="0"/>
        <v>2453.1</v>
      </c>
    </row>
    <row r="17" spans="1:11" x14ac:dyDescent="0.25">
      <c r="A17" s="403">
        <v>2552</v>
      </c>
      <c r="B17" s="391">
        <v>2009</v>
      </c>
      <c r="C17" s="398">
        <v>12</v>
      </c>
      <c r="D17" s="407">
        <v>1344.1</v>
      </c>
      <c r="E17" s="391">
        <v>629.9</v>
      </c>
      <c r="F17" s="391">
        <v>31.6</v>
      </c>
      <c r="G17" s="391">
        <v>110.5</v>
      </c>
      <c r="H17" s="391">
        <v>324.3</v>
      </c>
      <c r="I17" s="397">
        <v>118.2</v>
      </c>
      <c r="J17" s="427">
        <f t="shared" si="0"/>
        <v>2558.6</v>
      </c>
    </row>
    <row r="18" spans="1:11" x14ac:dyDescent="0.25">
      <c r="A18" s="403">
        <v>2553</v>
      </c>
      <c r="B18" s="391">
        <v>2010</v>
      </c>
      <c r="C18" s="397">
        <v>13</v>
      </c>
      <c r="D18" s="403">
        <v>1345</v>
      </c>
      <c r="E18" s="392">
        <v>614</v>
      </c>
      <c r="F18" s="392">
        <v>31.8</v>
      </c>
      <c r="G18" s="391">
        <v>127</v>
      </c>
      <c r="H18" s="391">
        <v>201.6</v>
      </c>
      <c r="I18" s="397">
        <v>37.299999999999997</v>
      </c>
      <c r="J18" s="427">
        <f t="shared" si="0"/>
        <v>2356.7000000000003</v>
      </c>
    </row>
    <row r="19" spans="1:11" x14ac:dyDescent="0.25">
      <c r="A19" s="403">
        <v>2554</v>
      </c>
      <c r="B19" s="391">
        <v>2011</v>
      </c>
      <c r="C19" s="397">
        <v>14</v>
      </c>
      <c r="D19" s="403">
        <v>1292.5999999999999</v>
      </c>
      <c r="E19" s="392">
        <v>660</v>
      </c>
      <c r="F19" s="392">
        <v>36</v>
      </c>
      <c r="G19" s="391">
        <v>128.4</v>
      </c>
      <c r="H19" s="391">
        <v>204.9</v>
      </c>
      <c r="I19" s="397">
        <v>105.5</v>
      </c>
      <c r="J19" s="427">
        <f t="shared" si="0"/>
        <v>2427.4</v>
      </c>
      <c r="K19" s="396"/>
    </row>
    <row r="20" spans="1:11" x14ac:dyDescent="0.25">
      <c r="A20" s="403">
        <v>2555</v>
      </c>
      <c r="B20" s="391">
        <v>2012</v>
      </c>
      <c r="C20" s="397">
        <v>15</v>
      </c>
      <c r="D20" s="403">
        <v>1260.5</v>
      </c>
      <c r="E20" s="392">
        <v>655.20000000000005</v>
      </c>
      <c r="F20" s="392">
        <v>40.5</v>
      </c>
      <c r="G20" s="391">
        <v>119.9</v>
      </c>
      <c r="H20" s="391">
        <v>200.1</v>
      </c>
      <c r="I20" s="397">
        <v>41.7</v>
      </c>
      <c r="J20" s="427">
        <f t="shared" si="0"/>
        <v>2317.8999999999996</v>
      </c>
      <c r="K20" s="396"/>
    </row>
    <row r="21" spans="1:11" x14ac:dyDescent="0.25">
      <c r="A21" s="403">
        <v>2556</v>
      </c>
      <c r="B21" s="391">
        <v>2013</v>
      </c>
      <c r="C21" s="397">
        <v>16</v>
      </c>
      <c r="D21" s="403">
        <v>1296.4000000000001</v>
      </c>
      <c r="E21" s="392">
        <v>366.7</v>
      </c>
      <c r="F21" s="392">
        <v>31.3</v>
      </c>
      <c r="G21" s="391">
        <v>117</v>
      </c>
      <c r="H21" s="391">
        <v>236.89999999999998</v>
      </c>
      <c r="I21" s="397">
        <v>127.7</v>
      </c>
      <c r="J21" s="427">
        <f t="shared" si="0"/>
        <v>2176</v>
      </c>
    </row>
    <row r="22" spans="1:11" x14ac:dyDescent="0.25">
      <c r="A22" s="403">
        <v>2557</v>
      </c>
      <c r="B22" s="391">
        <v>2014</v>
      </c>
      <c r="C22" s="397">
        <v>17</v>
      </c>
      <c r="D22" s="403">
        <v>1254.3</v>
      </c>
      <c r="E22" s="392">
        <v>320.3</v>
      </c>
      <c r="F22" s="392">
        <v>28.4</v>
      </c>
      <c r="G22" s="391">
        <v>100.9</v>
      </c>
      <c r="H22" s="391">
        <v>201.8</v>
      </c>
      <c r="I22" s="397">
        <v>65.2</v>
      </c>
      <c r="J22" s="427">
        <f t="shared" si="0"/>
        <v>1970.9</v>
      </c>
    </row>
    <row r="23" spans="1:11" x14ac:dyDescent="0.25">
      <c r="A23" s="403">
        <v>2558</v>
      </c>
      <c r="B23" s="391">
        <v>2015</v>
      </c>
      <c r="C23" s="398">
        <v>18</v>
      </c>
      <c r="D23" s="407">
        <v>1093.9000000000001</v>
      </c>
      <c r="E23" s="392">
        <v>326.39999999999998</v>
      </c>
      <c r="F23" s="392">
        <v>26.9</v>
      </c>
      <c r="G23" s="391">
        <v>91</v>
      </c>
      <c r="H23" s="391">
        <v>211.2</v>
      </c>
      <c r="I23" s="398">
        <v>76.599999999999994</v>
      </c>
      <c r="J23" s="428">
        <f t="shared" si="0"/>
        <v>1826.0000000000002</v>
      </c>
      <c r="K23" s="396"/>
    </row>
    <row r="24" spans="1:11" x14ac:dyDescent="0.25">
      <c r="A24" s="403">
        <v>2559</v>
      </c>
      <c r="B24" s="391">
        <v>2016</v>
      </c>
      <c r="C24" s="397">
        <v>19</v>
      </c>
      <c r="D24" s="403">
        <v>1086.8</v>
      </c>
      <c r="E24" s="392">
        <v>378.8</v>
      </c>
      <c r="F24" s="392">
        <v>36.1</v>
      </c>
      <c r="G24" s="391">
        <v>109</v>
      </c>
      <c r="H24" s="391">
        <v>168.70000000000002</v>
      </c>
      <c r="I24" s="397">
        <v>64</v>
      </c>
      <c r="J24" s="427">
        <f t="shared" si="0"/>
        <v>1843.3999999999999</v>
      </c>
    </row>
    <row r="25" spans="1:11" x14ac:dyDescent="0.25">
      <c r="A25" s="403">
        <v>2560</v>
      </c>
      <c r="B25" s="391">
        <v>2017</v>
      </c>
      <c r="C25" s="397">
        <v>20</v>
      </c>
      <c r="D25" s="403">
        <v>1072.2</v>
      </c>
      <c r="E25" s="391">
        <v>396.2</v>
      </c>
      <c r="F25" s="391">
        <v>35.9</v>
      </c>
      <c r="G25" s="391">
        <v>98.1</v>
      </c>
      <c r="H25" s="391">
        <v>118.4</v>
      </c>
      <c r="I25" s="397">
        <v>61.1</v>
      </c>
      <c r="J25" s="427">
        <f t="shared" si="0"/>
        <v>1781.9</v>
      </c>
      <c r="K25" s="396"/>
    </row>
    <row r="26" spans="1:11" x14ac:dyDescent="0.25">
      <c r="A26" s="403">
        <v>2561</v>
      </c>
      <c r="B26" s="391">
        <v>2018</v>
      </c>
      <c r="C26" s="397">
        <v>21</v>
      </c>
      <c r="D26" s="403">
        <v>1156.8</v>
      </c>
      <c r="E26" s="391">
        <v>427.2</v>
      </c>
      <c r="F26" s="391">
        <v>34</v>
      </c>
      <c r="G26" s="391">
        <v>111.2</v>
      </c>
      <c r="H26" s="391">
        <v>101.8</v>
      </c>
      <c r="I26" s="397">
        <v>58</v>
      </c>
      <c r="J26" s="427">
        <f t="shared" si="0"/>
        <v>1889</v>
      </c>
    </row>
    <row r="27" spans="1:11" x14ac:dyDescent="0.25">
      <c r="A27" s="403">
        <v>2562</v>
      </c>
      <c r="B27" s="391">
        <v>2019</v>
      </c>
      <c r="C27" s="397">
        <v>22</v>
      </c>
      <c r="D27" s="403">
        <v>1203.7</v>
      </c>
      <c r="E27" s="391">
        <v>462</v>
      </c>
      <c r="F27" s="391">
        <v>52.6</v>
      </c>
      <c r="G27" s="391">
        <v>98.3</v>
      </c>
      <c r="H27" s="391">
        <v>122</v>
      </c>
      <c r="I27" s="398">
        <v>8.6</v>
      </c>
      <c r="J27" s="429">
        <f t="shared" si="0"/>
        <v>1947.1999999999998</v>
      </c>
    </row>
    <row r="28" spans="1:11" x14ac:dyDescent="0.25">
      <c r="A28" s="403">
        <v>2563</v>
      </c>
      <c r="B28" s="391">
        <v>2020</v>
      </c>
      <c r="C28" s="398">
        <v>23</v>
      </c>
      <c r="D28" s="407">
        <v>1250.2</v>
      </c>
      <c r="E28" s="391">
        <v>437.4</v>
      </c>
      <c r="F28" s="391">
        <v>47.3</v>
      </c>
      <c r="G28" s="391">
        <v>99.7</v>
      </c>
      <c r="H28" s="391">
        <v>147.1</v>
      </c>
      <c r="I28" s="397">
        <v>47.5</v>
      </c>
      <c r="J28" s="427">
        <f t="shared" si="0"/>
        <v>2029.1999999999998</v>
      </c>
    </row>
    <row r="29" spans="1:11" x14ac:dyDescent="0.25">
      <c r="A29" s="403">
        <v>2564</v>
      </c>
      <c r="B29" s="391">
        <v>2021</v>
      </c>
      <c r="C29" s="398">
        <v>24</v>
      </c>
      <c r="D29" s="407">
        <v>1108</v>
      </c>
      <c r="E29" s="391">
        <v>441.8</v>
      </c>
      <c r="F29" s="391">
        <v>49</v>
      </c>
      <c r="G29" s="391">
        <v>92.3</v>
      </c>
      <c r="H29" s="391">
        <v>116.6</v>
      </c>
      <c r="I29" s="397">
        <v>31.9</v>
      </c>
      <c r="J29" s="427">
        <f t="shared" si="0"/>
        <v>1839.6</v>
      </c>
    </row>
    <row r="30" spans="1:11" ht="21.6" thickBot="1" x14ac:dyDescent="0.3">
      <c r="A30" s="404">
        <v>2565</v>
      </c>
      <c r="B30" s="401">
        <v>2022</v>
      </c>
      <c r="C30" s="399">
        <v>25</v>
      </c>
      <c r="D30" s="404">
        <v>1108.1999999999998</v>
      </c>
      <c r="E30" s="402">
        <v>444.20000000000005</v>
      </c>
      <c r="F30" s="402">
        <v>51.4</v>
      </c>
      <c r="G30" s="402">
        <v>96.5</v>
      </c>
      <c r="H30" s="402">
        <v>103.8</v>
      </c>
      <c r="I30" s="410">
        <v>9.9</v>
      </c>
      <c r="J30" s="430">
        <f t="shared" si="0"/>
        <v>1814</v>
      </c>
      <c r="K30" s="396"/>
    </row>
    <row r="31" spans="1:11" x14ac:dyDescent="0.25">
      <c r="A31" s="400"/>
      <c r="C31" s="400"/>
      <c r="E31" s="400"/>
      <c r="F31" s="400"/>
      <c r="G31" s="400"/>
      <c r="H31" s="400"/>
      <c r="J31" s="400"/>
    </row>
  </sheetData>
  <mergeCells count="5">
    <mergeCell ref="D3:J3"/>
    <mergeCell ref="A3:A5"/>
    <mergeCell ref="B3:B5"/>
    <mergeCell ref="C3:C5"/>
    <mergeCell ref="J4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1F05-10FA-4E70-9C16-4C193AC3E8BB}">
  <dimension ref="A1:G358"/>
  <sheetViews>
    <sheetView tabSelected="1" workbookViewId="0">
      <pane xSplit="10" ySplit="11" topLeftCell="K90" activePane="bottomRight" state="frozen"/>
      <selection pane="topRight" activeCell="K1" sqref="K1"/>
      <selection pane="bottomLeft" activeCell="A12" sqref="A12"/>
      <selection pane="bottomRight" activeCell="J3" sqref="J3"/>
    </sheetView>
  </sheetViews>
  <sheetFormatPr defaultRowHeight="18" x14ac:dyDescent="0.25"/>
  <cols>
    <col min="1" max="1" width="8.796875" style="1"/>
    <col min="2" max="3" width="8.796875" style="388"/>
    <col min="4" max="6" width="8.796875" style="1"/>
    <col min="7" max="7" width="13.09765625" style="1" customWidth="1"/>
    <col min="8" max="16384" width="8.796875" style="1"/>
  </cols>
  <sheetData>
    <row r="1" spans="1:7" s="387" customFormat="1" x14ac:dyDescent="0.25">
      <c r="A1" s="387" t="s">
        <v>78</v>
      </c>
      <c r="B1" s="3"/>
      <c r="C1" s="3"/>
    </row>
    <row r="2" spans="1:7" ht="18.600000000000001" thickBot="1" x14ac:dyDescent="0.3"/>
    <row r="3" spans="1:7" ht="18.600000000000001" thickBot="1" x14ac:dyDescent="0.3">
      <c r="A3" s="435" t="s">
        <v>64</v>
      </c>
      <c r="B3" s="435" t="s">
        <v>16</v>
      </c>
      <c r="C3" s="435" t="s">
        <v>17</v>
      </c>
      <c r="D3" s="435" t="s">
        <v>79</v>
      </c>
      <c r="E3" s="435"/>
      <c r="F3" s="435"/>
      <c r="G3" s="435" t="s">
        <v>83</v>
      </c>
    </row>
    <row r="4" spans="1:7" ht="18.600000000000001" thickBot="1" x14ac:dyDescent="0.3">
      <c r="A4" s="435"/>
      <c r="B4" s="435"/>
      <c r="C4" s="435"/>
      <c r="D4" s="436" t="s">
        <v>80</v>
      </c>
      <c r="E4" s="436" t="s">
        <v>82</v>
      </c>
      <c r="F4" s="436" t="s">
        <v>81</v>
      </c>
      <c r="G4" s="435"/>
    </row>
    <row r="5" spans="1:7" ht="18.600000000000001" thickBot="1" x14ac:dyDescent="0.3">
      <c r="A5" s="433">
        <v>1996</v>
      </c>
      <c r="B5" s="437">
        <v>1</v>
      </c>
      <c r="C5" s="437">
        <v>1</v>
      </c>
      <c r="D5" s="434">
        <v>25.292622999999999</v>
      </c>
      <c r="E5" s="434">
        <v>25.19</v>
      </c>
      <c r="F5" s="434">
        <v>25.5</v>
      </c>
      <c r="G5" s="434">
        <v>23</v>
      </c>
    </row>
    <row r="6" spans="1:7" ht="18.600000000000001" thickBot="1" x14ac:dyDescent="0.3">
      <c r="A6" s="433"/>
      <c r="B6" s="437">
        <v>2</v>
      </c>
      <c r="C6" s="437">
        <v>2</v>
      </c>
      <c r="D6" s="434">
        <v>25.234650999999999</v>
      </c>
      <c r="E6" s="434">
        <v>24.937681000000001</v>
      </c>
      <c r="F6" s="434">
        <v>25.35</v>
      </c>
      <c r="G6" s="434">
        <v>21</v>
      </c>
    </row>
    <row r="7" spans="1:7" ht="18.600000000000001" thickBot="1" x14ac:dyDescent="0.3">
      <c r="A7" s="433"/>
      <c r="B7" s="437">
        <v>3</v>
      </c>
      <c r="C7" s="437">
        <v>3</v>
      </c>
      <c r="D7" s="434">
        <v>25.250475999999999</v>
      </c>
      <c r="E7" s="434">
        <v>25.2</v>
      </c>
      <c r="F7" s="434">
        <v>25.5</v>
      </c>
      <c r="G7" s="434">
        <v>21</v>
      </c>
    </row>
    <row r="8" spans="1:7" ht="18.600000000000001" thickBot="1" x14ac:dyDescent="0.3">
      <c r="A8" s="433"/>
      <c r="B8" s="437">
        <v>4</v>
      </c>
      <c r="C8" s="437">
        <v>4</v>
      </c>
      <c r="D8" s="434">
        <v>25.29</v>
      </c>
      <c r="E8" s="434">
        <v>25.24</v>
      </c>
      <c r="F8" s="434">
        <v>25.33</v>
      </c>
      <c r="G8" s="434">
        <v>22</v>
      </c>
    </row>
    <row r="9" spans="1:7" ht="18.600000000000001" thickBot="1" x14ac:dyDescent="0.3">
      <c r="A9" s="433"/>
      <c r="B9" s="437">
        <v>5</v>
      </c>
      <c r="C9" s="437">
        <v>5</v>
      </c>
      <c r="D9" s="434">
        <v>25.290870000000002</v>
      </c>
      <c r="E9" s="434">
        <v>25.23</v>
      </c>
      <c r="F9" s="434">
        <v>25.36</v>
      </c>
      <c r="G9" s="434">
        <v>23</v>
      </c>
    </row>
    <row r="10" spans="1:7" ht="18.600000000000001" thickBot="1" x14ac:dyDescent="0.3">
      <c r="A10" s="433"/>
      <c r="B10" s="437">
        <v>6</v>
      </c>
      <c r="C10" s="437">
        <v>6</v>
      </c>
      <c r="D10" s="434">
        <v>25.353999999999999</v>
      </c>
      <c r="E10" s="434">
        <v>25.31</v>
      </c>
      <c r="F10" s="434">
        <v>25.4</v>
      </c>
      <c r="G10" s="434">
        <v>20</v>
      </c>
    </row>
    <row r="11" spans="1:7" ht="18.600000000000001" thickBot="1" x14ac:dyDescent="0.3">
      <c r="A11" s="433"/>
      <c r="B11" s="437">
        <v>7</v>
      </c>
      <c r="C11" s="437">
        <v>7</v>
      </c>
      <c r="D11" s="434">
        <v>25.352163000000001</v>
      </c>
      <c r="E11" s="434">
        <v>25.25</v>
      </c>
      <c r="F11" s="434">
        <v>25.43</v>
      </c>
      <c r="G11" s="434">
        <v>23</v>
      </c>
    </row>
    <row r="12" spans="1:7" ht="18.600000000000001" thickBot="1" x14ac:dyDescent="0.3">
      <c r="A12" s="433"/>
      <c r="B12" s="437">
        <v>8</v>
      </c>
      <c r="C12" s="437">
        <v>8</v>
      </c>
      <c r="D12" s="434">
        <v>25.289090999999999</v>
      </c>
      <c r="E12" s="434">
        <v>25.25</v>
      </c>
      <c r="F12" s="434">
        <v>25.32</v>
      </c>
      <c r="G12" s="434">
        <v>22</v>
      </c>
    </row>
    <row r="13" spans="1:7" ht="18.600000000000001" thickBot="1" x14ac:dyDescent="0.3">
      <c r="A13" s="433"/>
      <c r="B13" s="437">
        <v>9</v>
      </c>
      <c r="C13" s="437">
        <v>9</v>
      </c>
      <c r="D13" s="434">
        <v>25.402294000000001</v>
      </c>
      <c r="E13" s="434">
        <v>25.29</v>
      </c>
      <c r="F13" s="434">
        <v>25.8</v>
      </c>
      <c r="G13" s="434">
        <v>21</v>
      </c>
    </row>
    <row r="14" spans="1:7" ht="18.600000000000001" thickBot="1" x14ac:dyDescent="0.3">
      <c r="A14" s="433"/>
      <c r="B14" s="437">
        <v>10</v>
      </c>
      <c r="C14" s="437">
        <v>10</v>
      </c>
      <c r="D14" s="434">
        <v>25.474464999999999</v>
      </c>
      <c r="E14" s="434">
        <v>25.43</v>
      </c>
      <c r="F14" s="434">
        <v>25.53</v>
      </c>
      <c r="G14" s="434">
        <v>23</v>
      </c>
    </row>
    <row r="15" spans="1:7" ht="18.600000000000001" thickBot="1" x14ac:dyDescent="0.3">
      <c r="A15" s="433"/>
      <c r="B15" s="437">
        <v>11</v>
      </c>
      <c r="C15" s="437">
        <v>11</v>
      </c>
      <c r="D15" s="434">
        <v>25.462848000000001</v>
      </c>
      <c r="E15" s="434">
        <v>25.384207</v>
      </c>
      <c r="F15" s="434">
        <v>25.615601000000002</v>
      </c>
      <c r="G15" s="434">
        <v>21</v>
      </c>
    </row>
    <row r="16" spans="1:7" ht="18.600000000000001" thickBot="1" x14ac:dyDescent="0.3">
      <c r="A16" s="433"/>
      <c r="B16" s="437">
        <v>12</v>
      </c>
      <c r="C16" s="437">
        <v>12</v>
      </c>
      <c r="D16" s="434">
        <v>25.6</v>
      </c>
      <c r="E16" s="434">
        <v>25.54</v>
      </c>
      <c r="F16" s="434">
        <v>25.75</v>
      </c>
      <c r="G16" s="434">
        <v>22</v>
      </c>
    </row>
    <row r="17" spans="1:7" ht="18.600000000000001" thickBot="1" x14ac:dyDescent="0.3">
      <c r="A17" s="433">
        <v>1997</v>
      </c>
      <c r="B17" s="437">
        <v>1</v>
      </c>
      <c r="C17" s="437">
        <v>13</v>
      </c>
      <c r="D17" s="434">
        <v>25.732989</v>
      </c>
      <c r="E17" s="434">
        <v>25.6</v>
      </c>
      <c r="F17" s="434">
        <v>25.97</v>
      </c>
      <c r="G17" s="434">
        <v>23</v>
      </c>
    </row>
    <row r="18" spans="1:7" ht="18.600000000000001" thickBot="1" x14ac:dyDescent="0.3">
      <c r="A18" s="433"/>
      <c r="B18" s="437">
        <v>2</v>
      </c>
      <c r="C18" s="437">
        <v>14</v>
      </c>
      <c r="D18" s="434">
        <v>25.970072999999999</v>
      </c>
      <c r="E18" s="434">
        <v>25.89</v>
      </c>
      <c r="F18" s="434">
        <v>26.221450999999998</v>
      </c>
      <c r="G18" s="434">
        <v>20</v>
      </c>
    </row>
    <row r="19" spans="1:7" ht="18.600000000000001" thickBot="1" x14ac:dyDescent="0.3">
      <c r="A19" s="433"/>
      <c r="B19" s="437">
        <v>3</v>
      </c>
      <c r="C19" s="437">
        <v>15</v>
      </c>
      <c r="D19" s="434">
        <v>25.958570999999999</v>
      </c>
      <c r="E19" s="434">
        <v>25.89</v>
      </c>
      <c r="F19" s="434">
        <v>26.03</v>
      </c>
      <c r="G19" s="434">
        <v>21</v>
      </c>
    </row>
    <row r="20" spans="1:7" ht="18.600000000000001" thickBot="1" x14ac:dyDescent="0.3">
      <c r="A20" s="433"/>
      <c r="B20" s="437">
        <v>4</v>
      </c>
      <c r="C20" s="437">
        <v>16</v>
      </c>
      <c r="D20" s="434">
        <v>26.064091000000001</v>
      </c>
      <c r="E20" s="434">
        <v>25.96</v>
      </c>
      <c r="F20" s="434">
        <v>26.13</v>
      </c>
      <c r="G20" s="434">
        <v>22</v>
      </c>
    </row>
    <row r="21" spans="1:7" ht="18.600000000000001" thickBot="1" x14ac:dyDescent="0.3">
      <c r="A21" s="433"/>
      <c r="B21" s="437">
        <v>5</v>
      </c>
      <c r="C21" s="437">
        <v>17</v>
      </c>
      <c r="D21" s="434">
        <v>25.745346999999999</v>
      </c>
      <c r="E21" s="434">
        <v>24.75</v>
      </c>
      <c r="F21" s="434">
        <v>26.11</v>
      </c>
      <c r="G21" s="434">
        <v>22</v>
      </c>
    </row>
    <row r="22" spans="1:7" ht="18.600000000000001" thickBot="1" x14ac:dyDescent="0.3">
      <c r="A22" s="433"/>
      <c r="B22" s="437">
        <v>6</v>
      </c>
      <c r="C22" s="437">
        <v>18</v>
      </c>
      <c r="D22" s="434">
        <v>24.534286000000002</v>
      </c>
      <c r="E22" s="434">
        <v>22.75</v>
      </c>
      <c r="F22" s="434">
        <v>25.4</v>
      </c>
      <c r="G22" s="434">
        <v>21</v>
      </c>
    </row>
    <row r="23" spans="1:7" ht="18.600000000000001" thickBot="1" x14ac:dyDescent="0.3">
      <c r="A23" s="433"/>
      <c r="B23" s="437">
        <v>7</v>
      </c>
      <c r="C23" s="437">
        <v>19</v>
      </c>
      <c r="D23" s="434">
        <v>30.216873</v>
      </c>
      <c r="E23" s="434">
        <v>24.52</v>
      </c>
      <c r="F23" s="434">
        <v>32.299999999999997</v>
      </c>
      <c r="G23" s="434">
        <v>23</v>
      </c>
    </row>
    <row r="24" spans="1:7" ht="18.600000000000001" thickBot="1" x14ac:dyDescent="0.3">
      <c r="A24" s="433"/>
      <c r="B24" s="437">
        <v>8</v>
      </c>
      <c r="C24" s="437">
        <v>20</v>
      </c>
      <c r="D24" s="434">
        <v>32.398570999999997</v>
      </c>
      <c r="E24" s="434">
        <v>31</v>
      </c>
      <c r="F24" s="434">
        <v>34.5</v>
      </c>
      <c r="G24" s="434">
        <v>21</v>
      </c>
    </row>
    <row r="25" spans="1:7" ht="18.600000000000001" thickBot="1" x14ac:dyDescent="0.3">
      <c r="A25" s="433"/>
      <c r="B25" s="437">
        <v>9</v>
      </c>
      <c r="C25" s="437">
        <v>21</v>
      </c>
      <c r="D25" s="434">
        <v>35.234495000000003</v>
      </c>
      <c r="E25" s="434">
        <v>33.549999999999997</v>
      </c>
      <c r="F25" s="434">
        <v>36.549999999999997</v>
      </c>
      <c r="G25" s="434">
        <v>22</v>
      </c>
    </row>
    <row r="26" spans="1:7" ht="18.600000000000001" thickBot="1" x14ac:dyDescent="0.3">
      <c r="A26" s="433"/>
      <c r="B26" s="437">
        <v>10</v>
      </c>
      <c r="C26" s="437">
        <v>22</v>
      </c>
      <c r="D26" s="434">
        <v>37.475309000000003</v>
      </c>
      <c r="E26" s="434">
        <v>35.65</v>
      </c>
      <c r="F26" s="434">
        <v>40.5</v>
      </c>
      <c r="G26" s="434">
        <v>23</v>
      </c>
    </row>
    <row r="27" spans="1:7" ht="18.600000000000001" thickBot="1" x14ac:dyDescent="0.3">
      <c r="A27" s="433"/>
      <c r="B27" s="437">
        <v>11</v>
      </c>
      <c r="C27" s="437">
        <v>23</v>
      </c>
      <c r="D27" s="434">
        <v>39.032814000000002</v>
      </c>
      <c r="E27" s="434">
        <v>37.113864</v>
      </c>
      <c r="F27" s="434">
        <v>41</v>
      </c>
      <c r="G27" s="434">
        <v>20</v>
      </c>
    </row>
    <row r="28" spans="1:7" ht="18.600000000000001" thickBot="1" x14ac:dyDescent="0.3">
      <c r="A28" s="433"/>
      <c r="B28" s="437">
        <v>12</v>
      </c>
      <c r="C28" s="437">
        <v>24</v>
      </c>
      <c r="D28" s="434">
        <v>44.354348000000002</v>
      </c>
      <c r="E28" s="434">
        <v>41.2</v>
      </c>
      <c r="F28" s="434">
        <v>47.4</v>
      </c>
      <c r="G28" s="434">
        <v>23</v>
      </c>
    </row>
    <row r="29" spans="1:7" ht="18.600000000000001" thickBot="1" x14ac:dyDescent="0.3">
      <c r="A29" s="433">
        <v>1998</v>
      </c>
      <c r="B29" s="437">
        <v>1</v>
      </c>
      <c r="C29" s="437">
        <v>25</v>
      </c>
      <c r="D29" s="434">
        <v>52.657055</v>
      </c>
      <c r="E29" s="434">
        <v>46.8</v>
      </c>
      <c r="F29" s="434">
        <v>56.1</v>
      </c>
      <c r="G29" s="434">
        <v>22</v>
      </c>
    </row>
    <row r="30" spans="1:7" ht="18.600000000000001" thickBot="1" x14ac:dyDescent="0.3">
      <c r="A30" s="433"/>
      <c r="B30" s="437">
        <v>2</v>
      </c>
      <c r="C30" s="437">
        <v>26</v>
      </c>
      <c r="D30" s="434">
        <v>46.009821000000002</v>
      </c>
      <c r="E30" s="434">
        <v>43</v>
      </c>
      <c r="F30" s="434">
        <v>51</v>
      </c>
      <c r="G30" s="434">
        <v>20</v>
      </c>
    </row>
    <row r="31" spans="1:7" ht="18.600000000000001" thickBot="1" x14ac:dyDescent="0.3">
      <c r="A31" s="433"/>
      <c r="B31" s="437">
        <v>3</v>
      </c>
      <c r="C31" s="437">
        <v>27</v>
      </c>
      <c r="D31" s="434">
        <v>41.365909000000002</v>
      </c>
      <c r="E31" s="434">
        <v>38</v>
      </c>
      <c r="F31" s="434">
        <v>45</v>
      </c>
      <c r="G31" s="434">
        <v>22</v>
      </c>
    </row>
    <row r="32" spans="1:7" ht="18.600000000000001" thickBot="1" x14ac:dyDescent="0.3">
      <c r="A32" s="433"/>
      <c r="B32" s="437">
        <v>4</v>
      </c>
      <c r="C32" s="437">
        <v>28</v>
      </c>
      <c r="D32" s="434">
        <v>39.653635999999999</v>
      </c>
      <c r="E32" s="434">
        <v>38.549999999999997</v>
      </c>
      <c r="F32" s="434">
        <v>41.2</v>
      </c>
      <c r="G32" s="434">
        <v>22</v>
      </c>
    </row>
    <row r="33" spans="1:7" ht="18.600000000000001" thickBot="1" x14ac:dyDescent="0.3">
      <c r="A33" s="433"/>
      <c r="B33" s="437">
        <v>5</v>
      </c>
      <c r="C33" s="437">
        <v>29</v>
      </c>
      <c r="D33" s="434">
        <v>39.212715000000003</v>
      </c>
      <c r="E33" s="434">
        <v>38.549999999999997</v>
      </c>
      <c r="F33" s="434">
        <v>40.44</v>
      </c>
      <c r="G33" s="434">
        <v>21</v>
      </c>
    </row>
    <row r="34" spans="1:7" ht="18.600000000000001" thickBot="1" x14ac:dyDescent="0.3">
      <c r="A34" s="433"/>
      <c r="B34" s="437">
        <v>6</v>
      </c>
      <c r="C34" s="437">
        <v>30</v>
      </c>
      <c r="D34" s="434">
        <v>42.331817999999998</v>
      </c>
      <c r="E34" s="434">
        <v>41.05</v>
      </c>
      <c r="F34" s="434">
        <v>43.75</v>
      </c>
      <c r="G34" s="434">
        <v>22</v>
      </c>
    </row>
    <row r="35" spans="1:7" ht="18.600000000000001" thickBot="1" x14ac:dyDescent="0.3">
      <c r="A35" s="433"/>
      <c r="B35" s="437">
        <v>7</v>
      </c>
      <c r="C35" s="437">
        <v>31</v>
      </c>
      <c r="D35" s="434">
        <v>41.299565000000001</v>
      </c>
      <c r="E35" s="434">
        <v>40.700000000000003</v>
      </c>
      <c r="F35" s="434">
        <v>42.3</v>
      </c>
      <c r="G35" s="434">
        <v>23</v>
      </c>
    </row>
    <row r="36" spans="1:7" ht="18.600000000000001" thickBot="1" x14ac:dyDescent="0.3">
      <c r="A36" s="433"/>
      <c r="B36" s="437">
        <v>8</v>
      </c>
      <c r="C36" s="437">
        <v>32</v>
      </c>
      <c r="D36" s="434">
        <v>41.72</v>
      </c>
      <c r="E36" s="434">
        <v>40.799999999999997</v>
      </c>
      <c r="F36" s="434">
        <v>42.55</v>
      </c>
      <c r="G36" s="434">
        <v>21</v>
      </c>
    </row>
    <row r="37" spans="1:7" ht="18.600000000000001" thickBot="1" x14ac:dyDescent="0.3">
      <c r="A37" s="433"/>
      <c r="B37" s="437">
        <v>9</v>
      </c>
      <c r="C37" s="437">
        <v>33</v>
      </c>
      <c r="D37" s="434">
        <v>40.399890999999997</v>
      </c>
      <c r="E37" s="434">
        <v>39</v>
      </c>
      <c r="F37" s="434">
        <v>40.950000000000003</v>
      </c>
      <c r="G37" s="434">
        <v>22</v>
      </c>
    </row>
    <row r="38" spans="1:7" ht="18.600000000000001" thickBot="1" x14ac:dyDescent="0.3">
      <c r="A38" s="433"/>
      <c r="B38" s="437">
        <v>10</v>
      </c>
      <c r="C38" s="437">
        <v>34</v>
      </c>
      <c r="D38" s="434">
        <v>38.147215000000003</v>
      </c>
      <c r="E38" s="434">
        <v>36.799999999999997</v>
      </c>
      <c r="F38" s="434">
        <v>39.65</v>
      </c>
      <c r="G38" s="434">
        <v>22</v>
      </c>
    </row>
    <row r="39" spans="1:7" ht="18.600000000000001" thickBot="1" x14ac:dyDescent="0.3">
      <c r="A39" s="433"/>
      <c r="B39" s="437">
        <v>11</v>
      </c>
      <c r="C39" s="437">
        <v>35</v>
      </c>
      <c r="D39" s="434">
        <v>36.544823999999998</v>
      </c>
      <c r="E39" s="434">
        <v>36.1</v>
      </c>
      <c r="F39" s="434">
        <v>37.200000000000003</v>
      </c>
      <c r="G39" s="434">
        <v>21</v>
      </c>
    </row>
    <row r="40" spans="1:7" ht="18.600000000000001" thickBot="1" x14ac:dyDescent="0.3">
      <c r="A40" s="433"/>
      <c r="B40" s="437">
        <v>12</v>
      </c>
      <c r="C40" s="437">
        <v>36</v>
      </c>
      <c r="D40" s="434">
        <v>36.283478000000002</v>
      </c>
      <c r="E40" s="434">
        <v>35.78</v>
      </c>
      <c r="F40" s="434">
        <v>37.15</v>
      </c>
      <c r="G40" s="434">
        <v>23</v>
      </c>
    </row>
    <row r="41" spans="1:7" ht="18.600000000000001" thickBot="1" x14ac:dyDescent="0.3">
      <c r="A41" s="433">
        <v>1999</v>
      </c>
      <c r="B41" s="437">
        <v>1</v>
      </c>
      <c r="C41" s="437">
        <v>37</v>
      </c>
      <c r="D41" s="434">
        <v>36.614479000000003</v>
      </c>
      <c r="E41" s="434">
        <v>36.18</v>
      </c>
      <c r="F41" s="434">
        <v>37.049999999999997</v>
      </c>
      <c r="G41" s="434">
        <v>21</v>
      </c>
    </row>
    <row r="42" spans="1:7" ht="18.600000000000001" thickBot="1" x14ac:dyDescent="0.3">
      <c r="A42" s="433"/>
      <c r="B42" s="437">
        <v>2</v>
      </c>
      <c r="C42" s="437">
        <v>38</v>
      </c>
      <c r="D42" s="434">
        <v>37.128486000000002</v>
      </c>
      <c r="E42" s="434">
        <v>36.700000000000003</v>
      </c>
      <c r="F42" s="434">
        <v>37.700000000000003</v>
      </c>
      <c r="G42" s="434">
        <v>20</v>
      </c>
    </row>
    <row r="43" spans="1:7" ht="18.600000000000001" thickBot="1" x14ac:dyDescent="0.3">
      <c r="A43" s="433"/>
      <c r="B43" s="437">
        <v>3</v>
      </c>
      <c r="C43" s="437">
        <v>39</v>
      </c>
      <c r="D43" s="434">
        <v>37.556522000000001</v>
      </c>
      <c r="E43" s="434">
        <v>37.15</v>
      </c>
      <c r="F43" s="434">
        <v>38.65</v>
      </c>
      <c r="G43" s="434">
        <v>23</v>
      </c>
    </row>
    <row r="44" spans="1:7" ht="18.600000000000001" thickBot="1" x14ac:dyDescent="0.3">
      <c r="A44" s="433"/>
      <c r="B44" s="437">
        <v>4</v>
      </c>
      <c r="C44" s="437">
        <v>40</v>
      </c>
      <c r="D44" s="434">
        <v>37.631135999999998</v>
      </c>
      <c r="E44" s="434">
        <v>37.1</v>
      </c>
      <c r="F44" s="434">
        <v>37.979999999999997</v>
      </c>
      <c r="G44" s="434">
        <v>22</v>
      </c>
    </row>
    <row r="45" spans="1:7" ht="18.600000000000001" thickBot="1" x14ac:dyDescent="0.3">
      <c r="A45" s="433"/>
      <c r="B45" s="437">
        <v>5</v>
      </c>
      <c r="C45" s="437">
        <v>41</v>
      </c>
      <c r="D45" s="434">
        <v>37.059606000000002</v>
      </c>
      <c r="E45" s="434">
        <v>36.78</v>
      </c>
      <c r="F45" s="434">
        <v>37.39</v>
      </c>
      <c r="G45" s="434">
        <v>21</v>
      </c>
    </row>
    <row r="46" spans="1:7" ht="18.600000000000001" thickBot="1" x14ac:dyDescent="0.3">
      <c r="A46" s="433"/>
      <c r="B46" s="437">
        <v>6</v>
      </c>
      <c r="C46" s="437">
        <v>42</v>
      </c>
      <c r="D46" s="434">
        <v>36.925454999999999</v>
      </c>
      <c r="E46" s="434">
        <v>36.58</v>
      </c>
      <c r="F46" s="434">
        <v>37.14</v>
      </c>
      <c r="G46" s="434">
        <v>22</v>
      </c>
    </row>
    <row r="47" spans="1:7" ht="18.600000000000001" thickBot="1" x14ac:dyDescent="0.3">
      <c r="A47" s="433"/>
      <c r="B47" s="437">
        <v>7</v>
      </c>
      <c r="C47" s="437">
        <v>43</v>
      </c>
      <c r="D47" s="434">
        <v>37.135567999999999</v>
      </c>
      <c r="E47" s="434">
        <v>36.81</v>
      </c>
      <c r="F47" s="434">
        <v>37.409999999999997</v>
      </c>
      <c r="G47" s="434">
        <v>22</v>
      </c>
    </row>
    <row r="48" spans="1:7" ht="18.600000000000001" thickBot="1" x14ac:dyDescent="0.3">
      <c r="A48" s="433"/>
      <c r="B48" s="437">
        <v>8</v>
      </c>
      <c r="C48" s="437">
        <v>44</v>
      </c>
      <c r="D48" s="434">
        <v>38.060364</v>
      </c>
      <c r="E48" s="434">
        <v>37.29</v>
      </c>
      <c r="F48" s="434">
        <v>38.47</v>
      </c>
      <c r="G48" s="434">
        <v>22</v>
      </c>
    </row>
    <row r="49" spans="1:7" ht="18.600000000000001" thickBot="1" x14ac:dyDescent="0.3">
      <c r="A49" s="433"/>
      <c r="B49" s="437">
        <v>9</v>
      </c>
      <c r="C49" s="437">
        <v>45</v>
      </c>
      <c r="D49" s="434">
        <v>40.019441</v>
      </c>
      <c r="E49" s="434">
        <v>38.82</v>
      </c>
      <c r="F49" s="434">
        <v>41.62</v>
      </c>
      <c r="G49" s="434">
        <v>22</v>
      </c>
    </row>
    <row r="50" spans="1:7" ht="18.600000000000001" thickBot="1" x14ac:dyDescent="0.3">
      <c r="A50" s="433"/>
      <c r="B50" s="437">
        <v>10</v>
      </c>
      <c r="C50" s="437">
        <v>46</v>
      </c>
      <c r="D50" s="434">
        <v>39.464221999999999</v>
      </c>
      <c r="E50" s="434">
        <v>38.619999999999997</v>
      </c>
      <c r="F50" s="434">
        <v>40.65</v>
      </c>
      <c r="G50" s="434">
        <v>21</v>
      </c>
    </row>
    <row r="51" spans="1:7" ht="18.600000000000001" thickBot="1" x14ac:dyDescent="0.3">
      <c r="A51" s="433"/>
      <c r="B51" s="437">
        <v>11</v>
      </c>
      <c r="C51" s="437">
        <v>47</v>
      </c>
      <c r="D51" s="434">
        <v>38.763402999999997</v>
      </c>
      <c r="E51" s="434">
        <v>38.450000000000003</v>
      </c>
      <c r="F51" s="434">
        <v>39.049999999999997</v>
      </c>
      <c r="G51" s="434">
        <v>22</v>
      </c>
    </row>
    <row r="52" spans="1:7" ht="18.600000000000001" thickBot="1" x14ac:dyDescent="0.3">
      <c r="A52" s="433"/>
      <c r="B52" s="437">
        <v>12</v>
      </c>
      <c r="C52" s="437">
        <v>48</v>
      </c>
      <c r="D52" s="434">
        <v>38.226956999999999</v>
      </c>
      <c r="E52" s="434">
        <v>37.5</v>
      </c>
      <c r="F52" s="434">
        <v>38.97</v>
      </c>
      <c r="G52" s="434">
        <v>23</v>
      </c>
    </row>
    <row r="53" spans="1:7" ht="18.600000000000001" thickBot="1" x14ac:dyDescent="0.3">
      <c r="A53" s="433">
        <v>2000</v>
      </c>
      <c r="B53" s="437">
        <v>1</v>
      </c>
      <c r="C53" s="437">
        <v>49</v>
      </c>
      <c r="D53" s="434">
        <v>37.411301000000002</v>
      </c>
      <c r="E53" s="434">
        <v>36.97</v>
      </c>
      <c r="F53" s="434">
        <v>38.037323999999998</v>
      </c>
      <c r="G53" s="434">
        <v>21</v>
      </c>
    </row>
    <row r="54" spans="1:7" ht="18.600000000000001" thickBot="1" x14ac:dyDescent="0.3">
      <c r="A54" s="433"/>
      <c r="B54" s="437">
        <v>2</v>
      </c>
      <c r="C54" s="437">
        <v>50</v>
      </c>
      <c r="D54" s="434">
        <v>37.775238000000002</v>
      </c>
      <c r="E54" s="434">
        <v>37.42</v>
      </c>
      <c r="F54" s="434">
        <v>38.22</v>
      </c>
      <c r="G54" s="434">
        <v>21</v>
      </c>
    </row>
    <row r="55" spans="1:7" ht="18.600000000000001" thickBot="1" x14ac:dyDescent="0.3">
      <c r="A55" s="433"/>
      <c r="B55" s="437">
        <v>3</v>
      </c>
      <c r="C55" s="437">
        <v>51</v>
      </c>
      <c r="D55" s="434">
        <v>37.922609000000001</v>
      </c>
      <c r="E55" s="434">
        <v>37.72</v>
      </c>
      <c r="F55" s="434">
        <v>38.159999999999997</v>
      </c>
      <c r="G55" s="434">
        <v>23</v>
      </c>
    </row>
    <row r="56" spans="1:7" ht="18.600000000000001" thickBot="1" x14ac:dyDescent="0.3">
      <c r="A56" s="433"/>
      <c r="B56" s="437">
        <v>4</v>
      </c>
      <c r="C56" s="437">
        <v>52</v>
      </c>
      <c r="D56" s="434">
        <v>37.995832999999998</v>
      </c>
      <c r="E56" s="434">
        <v>37.799999999999997</v>
      </c>
      <c r="F56" s="434">
        <v>38.15</v>
      </c>
      <c r="G56" s="434">
        <v>18</v>
      </c>
    </row>
    <row r="57" spans="1:7" ht="18.600000000000001" thickBot="1" x14ac:dyDescent="0.3">
      <c r="A57" s="433"/>
      <c r="B57" s="437">
        <v>5</v>
      </c>
      <c r="C57" s="437">
        <v>53</v>
      </c>
      <c r="D57" s="434">
        <v>38.975434</v>
      </c>
      <c r="E57" s="434">
        <v>38.35</v>
      </c>
      <c r="F57" s="434">
        <v>39.450000000000003</v>
      </c>
      <c r="G57" s="434">
        <v>22</v>
      </c>
    </row>
    <row r="58" spans="1:7" ht="18.600000000000001" thickBot="1" x14ac:dyDescent="0.3">
      <c r="A58" s="433"/>
      <c r="B58" s="437">
        <v>6</v>
      </c>
      <c r="C58" s="437">
        <v>54</v>
      </c>
      <c r="D58" s="434">
        <v>39.435339999999997</v>
      </c>
      <c r="E58" s="434">
        <v>38.637504999999997</v>
      </c>
      <c r="F58" s="434">
        <v>41.519674000000002</v>
      </c>
      <c r="G58" s="434">
        <v>22</v>
      </c>
    </row>
    <row r="59" spans="1:7" ht="18.600000000000001" thickBot="1" x14ac:dyDescent="0.3">
      <c r="A59" s="433"/>
      <c r="B59" s="437">
        <v>7</v>
      </c>
      <c r="C59" s="437">
        <v>55</v>
      </c>
      <c r="D59" s="434">
        <v>40.270425000000003</v>
      </c>
      <c r="E59" s="434">
        <v>39.325049999999997</v>
      </c>
      <c r="F59" s="434">
        <v>41.473007000000003</v>
      </c>
      <c r="G59" s="434">
        <v>21</v>
      </c>
    </row>
    <row r="60" spans="1:7" ht="18.600000000000001" thickBot="1" x14ac:dyDescent="0.3">
      <c r="A60" s="433"/>
      <c r="B60" s="437">
        <v>8</v>
      </c>
      <c r="C60" s="437">
        <v>56</v>
      </c>
      <c r="D60" s="434">
        <v>41.039963</v>
      </c>
      <c r="E60" s="434">
        <v>40.635896000000002</v>
      </c>
      <c r="F60" s="434">
        <v>41.419255</v>
      </c>
      <c r="G60" s="434">
        <v>23</v>
      </c>
    </row>
    <row r="61" spans="1:7" ht="18.600000000000001" thickBot="1" x14ac:dyDescent="0.3">
      <c r="A61" s="433"/>
      <c r="B61" s="437">
        <v>9</v>
      </c>
      <c r="C61" s="437">
        <v>57</v>
      </c>
      <c r="D61" s="434">
        <v>41.923797</v>
      </c>
      <c r="E61" s="434">
        <v>40.839024999999999</v>
      </c>
      <c r="F61" s="434">
        <v>42.880220999999999</v>
      </c>
      <c r="G61" s="434">
        <v>21</v>
      </c>
    </row>
    <row r="62" spans="1:7" ht="18.600000000000001" thickBot="1" x14ac:dyDescent="0.3">
      <c r="A62" s="433"/>
      <c r="B62" s="437">
        <v>10</v>
      </c>
      <c r="C62" s="437">
        <v>58</v>
      </c>
      <c r="D62" s="434">
        <v>43.508828000000001</v>
      </c>
      <c r="E62" s="434">
        <v>42.534112999999998</v>
      </c>
      <c r="F62" s="434">
        <v>44.341214000000001</v>
      </c>
      <c r="G62" s="434">
        <v>22</v>
      </c>
    </row>
    <row r="63" spans="1:7" ht="18.600000000000001" thickBot="1" x14ac:dyDescent="0.3">
      <c r="A63" s="433"/>
      <c r="B63" s="437">
        <v>11</v>
      </c>
      <c r="C63" s="437">
        <v>59</v>
      </c>
      <c r="D63" s="434">
        <v>43.749056000000003</v>
      </c>
      <c r="E63" s="434">
        <v>43.140892999999998</v>
      </c>
      <c r="F63" s="434">
        <v>44.648808000000002</v>
      </c>
      <c r="G63" s="434">
        <v>22</v>
      </c>
    </row>
    <row r="64" spans="1:7" ht="18.600000000000001" thickBot="1" x14ac:dyDescent="0.3">
      <c r="A64" s="433"/>
      <c r="B64" s="437">
        <v>12</v>
      </c>
      <c r="C64" s="437">
        <v>60</v>
      </c>
      <c r="D64" s="434">
        <v>43.403841999999997</v>
      </c>
      <c r="E64" s="434">
        <v>42.065693000000003</v>
      </c>
      <c r="F64" s="434">
        <v>44.187741000000003</v>
      </c>
      <c r="G64" s="434">
        <v>19</v>
      </c>
    </row>
    <row r="65" spans="1:7" ht="18.600000000000001" thickBot="1" x14ac:dyDescent="0.3">
      <c r="A65" s="433">
        <v>2001</v>
      </c>
      <c r="B65" s="437">
        <v>1</v>
      </c>
      <c r="C65" s="437">
        <v>61</v>
      </c>
      <c r="D65" s="434">
        <v>43.260733999999999</v>
      </c>
      <c r="E65" s="434">
        <v>42.614381000000002</v>
      </c>
      <c r="F65" s="434">
        <v>44.190809999999999</v>
      </c>
      <c r="G65" s="434">
        <v>22</v>
      </c>
    </row>
    <row r="66" spans="1:7" ht="18.600000000000001" thickBot="1" x14ac:dyDescent="0.3">
      <c r="A66" s="433"/>
      <c r="B66" s="437">
        <v>2</v>
      </c>
      <c r="C66" s="437">
        <v>62</v>
      </c>
      <c r="D66" s="434">
        <v>42.730913000000001</v>
      </c>
      <c r="E66" s="434">
        <v>42.219946</v>
      </c>
      <c r="F66" s="434">
        <v>43.721425000000004</v>
      </c>
      <c r="G66" s="434">
        <v>20</v>
      </c>
    </row>
    <row r="67" spans="1:7" ht="18.600000000000001" thickBot="1" x14ac:dyDescent="0.3">
      <c r="A67" s="433"/>
      <c r="B67" s="437">
        <v>3</v>
      </c>
      <c r="C67" s="437">
        <v>63</v>
      </c>
      <c r="D67" s="434">
        <v>43.951971999999998</v>
      </c>
      <c r="E67" s="434">
        <v>43.352423000000002</v>
      </c>
      <c r="F67" s="434">
        <v>44.746833000000002</v>
      </c>
      <c r="G67" s="434">
        <v>22</v>
      </c>
    </row>
    <row r="68" spans="1:7" ht="18.600000000000001" thickBot="1" x14ac:dyDescent="0.3">
      <c r="A68" s="433"/>
      <c r="B68" s="437">
        <v>4</v>
      </c>
      <c r="C68" s="437">
        <v>64</v>
      </c>
      <c r="D68" s="434">
        <v>45.600254999999997</v>
      </c>
      <c r="E68" s="434">
        <v>44.965743000000003</v>
      </c>
      <c r="F68" s="434">
        <v>46.141612000000002</v>
      </c>
      <c r="G68" s="434">
        <v>19</v>
      </c>
    </row>
    <row r="69" spans="1:7" ht="18.600000000000001" thickBot="1" x14ac:dyDescent="0.3">
      <c r="A69" s="433"/>
      <c r="B69" s="437">
        <v>5</v>
      </c>
      <c r="C69" s="437">
        <v>65</v>
      </c>
      <c r="D69" s="434">
        <v>45.888489</v>
      </c>
      <c r="E69" s="434">
        <v>45.297406000000002</v>
      </c>
      <c r="F69" s="434">
        <v>48.092846999999999</v>
      </c>
      <c r="G69" s="434">
        <v>22</v>
      </c>
    </row>
    <row r="70" spans="1:7" ht="18.600000000000001" thickBot="1" x14ac:dyDescent="0.3">
      <c r="A70" s="433"/>
      <c r="B70" s="437">
        <v>6</v>
      </c>
      <c r="C70" s="437">
        <v>66</v>
      </c>
      <c r="D70" s="434">
        <v>45.344113999999998</v>
      </c>
      <c r="E70" s="434">
        <v>44.916646999999998</v>
      </c>
      <c r="F70" s="434">
        <v>46.042274999999997</v>
      </c>
      <c r="G70" s="434">
        <v>21</v>
      </c>
    </row>
    <row r="71" spans="1:7" ht="18.600000000000001" thickBot="1" x14ac:dyDescent="0.3">
      <c r="A71" s="433"/>
      <c r="B71" s="437">
        <v>7</v>
      </c>
      <c r="C71" s="437">
        <v>67</v>
      </c>
      <c r="D71" s="434">
        <v>45.869539000000003</v>
      </c>
      <c r="E71" s="434">
        <v>45.340418</v>
      </c>
      <c r="F71" s="434">
        <v>49.240099999999998</v>
      </c>
      <c r="G71" s="434">
        <v>22</v>
      </c>
    </row>
    <row r="72" spans="1:7" ht="18.600000000000001" thickBot="1" x14ac:dyDescent="0.3">
      <c r="A72" s="433"/>
      <c r="B72" s="437">
        <v>8</v>
      </c>
      <c r="C72" s="437">
        <v>68</v>
      </c>
      <c r="D72" s="434">
        <v>45.000965000000001</v>
      </c>
      <c r="E72" s="434">
        <v>43.864381000000002</v>
      </c>
      <c r="F72" s="434">
        <v>45.980314</v>
      </c>
      <c r="G72" s="434">
        <v>23</v>
      </c>
    </row>
    <row r="73" spans="1:7" ht="18.600000000000001" thickBot="1" x14ac:dyDescent="0.3">
      <c r="A73" s="433"/>
      <c r="B73" s="437">
        <v>9</v>
      </c>
      <c r="C73" s="437">
        <v>69</v>
      </c>
      <c r="D73" s="434">
        <v>44.436833999999998</v>
      </c>
      <c r="E73" s="434">
        <v>43.643453999999998</v>
      </c>
      <c r="F73" s="434">
        <v>45.324632000000001</v>
      </c>
      <c r="G73" s="434">
        <v>20</v>
      </c>
    </row>
    <row r="74" spans="1:7" ht="18.600000000000001" thickBot="1" x14ac:dyDescent="0.3">
      <c r="A74" s="433"/>
      <c r="B74" s="437">
        <v>10</v>
      </c>
      <c r="C74" s="437">
        <v>70</v>
      </c>
      <c r="D74" s="434">
        <v>44.788803999999999</v>
      </c>
      <c r="E74" s="434">
        <v>44.370507000000003</v>
      </c>
      <c r="F74" s="434">
        <v>45.187061999999997</v>
      </c>
      <c r="G74" s="434">
        <v>23</v>
      </c>
    </row>
    <row r="75" spans="1:7" ht="18.600000000000001" thickBot="1" x14ac:dyDescent="0.3">
      <c r="A75" s="433"/>
      <c r="B75" s="437">
        <v>11</v>
      </c>
      <c r="C75" s="437">
        <v>71</v>
      </c>
      <c r="D75" s="434">
        <v>44.372228</v>
      </c>
      <c r="E75" s="434">
        <v>43.913238999999997</v>
      </c>
      <c r="F75" s="434">
        <v>44.806494999999998</v>
      </c>
      <c r="G75" s="434">
        <v>22</v>
      </c>
    </row>
    <row r="76" spans="1:7" ht="18.600000000000001" thickBot="1" x14ac:dyDescent="0.3">
      <c r="A76" s="433"/>
      <c r="B76" s="437">
        <v>12</v>
      </c>
      <c r="C76" s="437">
        <v>72</v>
      </c>
      <c r="D76" s="434">
        <v>43.945059999999998</v>
      </c>
      <c r="E76" s="434">
        <v>43.68468</v>
      </c>
      <c r="F76" s="434">
        <v>44.45796</v>
      </c>
      <c r="G76" s="434">
        <v>19</v>
      </c>
    </row>
    <row r="77" spans="1:7" ht="18.600000000000001" thickBot="1" x14ac:dyDescent="0.3">
      <c r="A77" s="433">
        <v>2002</v>
      </c>
      <c r="B77" s="437">
        <v>1</v>
      </c>
      <c r="C77" s="437">
        <v>73</v>
      </c>
      <c r="D77" s="434">
        <v>43.908881000000001</v>
      </c>
      <c r="E77" s="434">
        <v>43.347679999999997</v>
      </c>
      <c r="F77" s="434">
        <v>44.289354000000003</v>
      </c>
      <c r="G77" s="434">
        <v>22</v>
      </c>
    </row>
    <row r="78" spans="1:7" ht="18.600000000000001" thickBot="1" x14ac:dyDescent="0.3">
      <c r="A78" s="433"/>
      <c r="B78" s="437">
        <v>2</v>
      </c>
      <c r="C78" s="437">
        <v>74</v>
      </c>
      <c r="D78" s="434">
        <v>43.760328999999999</v>
      </c>
      <c r="E78" s="434">
        <v>43.422288000000002</v>
      </c>
      <c r="F78" s="434">
        <v>44.200600000000001</v>
      </c>
      <c r="G78" s="434">
        <v>20</v>
      </c>
    </row>
    <row r="79" spans="1:7" ht="18.600000000000001" thickBot="1" x14ac:dyDescent="0.3">
      <c r="A79" s="433"/>
      <c r="B79" s="437">
        <v>3</v>
      </c>
      <c r="C79" s="437">
        <v>75</v>
      </c>
      <c r="D79" s="434">
        <v>43.359563000000001</v>
      </c>
      <c r="E79" s="434">
        <v>43.070478999999999</v>
      </c>
      <c r="F79" s="434">
        <v>43.728639000000001</v>
      </c>
      <c r="G79" s="434">
        <v>20</v>
      </c>
    </row>
    <row r="80" spans="1:7" ht="18.600000000000001" thickBot="1" x14ac:dyDescent="0.3">
      <c r="A80" s="433"/>
      <c r="B80" s="437">
        <v>4</v>
      </c>
      <c r="C80" s="437">
        <v>76</v>
      </c>
      <c r="D80" s="434">
        <v>43.409360999999997</v>
      </c>
      <c r="E80" s="434">
        <v>43.103119999999997</v>
      </c>
      <c r="F80" s="434">
        <v>43.773958999999998</v>
      </c>
      <c r="G80" s="434">
        <v>21</v>
      </c>
    </row>
    <row r="81" spans="1:7" ht="18.600000000000001" thickBot="1" x14ac:dyDescent="0.3">
      <c r="A81" s="433"/>
      <c r="B81" s="437">
        <v>5</v>
      </c>
      <c r="C81" s="437">
        <v>77</v>
      </c>
      <c r="D81" s="434">
        <v>42.728847000000002</v>
      </c>
      <c r="E81" s="434">
        <v>42.280068</v>
      </c>
      <c r="F81" s="434">
        <v>43.272424999999998</v>
      </c>
      <c r="G81" s="434">
        <v>22</v>
      </c>
    </row>
    <row r="82" spans="1:7" ht="18.600000000000001" thickBot="1" x14ac:dyDescent="0.3">
      <c r="A82" s="433"/>
      <c r="B82" s="437">
        <v>6</v>
      </c>
      <c r="C82" s="437">
        <v>78</v>
      </c>
      <c r="D82" s="434">
        <v>42.167873</v>
      </c>
      <c r="E82" s="434">
        <v>41.203085999999999</v>
      </c>
      <c r="F82" s="434">
        <v>42.836143</v>
      </c>
      <c r="G82" s="434">
        <v>20</v>
      </c>
    </row>
    <row r="83" spans="1:7" ht="18.600000000000001" thickBot="1" x14ac:dyDescent="0.3">
      <c r="A83" s="433"/>
      <c r="B83" s="437">
        <v>7</v>
      </c>
      <c r="C83" s="437">
        <v>79</v>
      </c>
      <c r="D83" s="434">
        <v>41.205928</v>
      </c>
      <c r="E83" s="434">
        <v>40.126157999999997</v>
      </c>
      <c r="F83" s="434">
        <v>42.213839999999998</v>
      </c>
      <c r="G83" s="434">
        <v>23</v>
      </c>
    </row>
    <row r="84" spans="1:7" ht="18.600000000000001" thickBot="1" x14ac:dyDescent="0.3">
      <c r="A84" s="433"/>
      <c r="B84" s="437">
        <v>8</v>
      </c>
      <c r="C84" s="437">
        <v>80</v>
      </c>
      <c r="D84" s="434">
        <v>42.124467000000003</v>
      </c>
      <c r="E84" s="434">
        <v>41.500050999999999</v>
      </c>
      <c r="F84" s="434">
        <v>42.519871999999999</v>
      </c>
      <c r="G84" s="434">
        <v>22</v>
      </c>
    </row>
    <row r="85" spans="1:7" ht="18.600000000000001" thickBot="1" x14ac:dyDescent="0.3">
      <c r="A85" s="433"/>
      <c r="B85" s="437">
        <v>9</v>
      </c>
      <c r="C85" s="437">
        <v>81</v>
      </c>
      <c r="D85" s="434">
        <v>42.826188999999999</v>
      </c>
      <c r="E85" s="434">
        <v>41.837871</v>
      </c>
      <c r="F85" s="434">
        <v>43.645668999999998</v>
      </c>
      <c r="G85" s="434">
        <v>21</v>
      </c>
    </row>
    <row r="86" spans="1:7" ht="18.600000000000001" thickBot="1" x14ac:dyDescent="0.3">
      <c r="A86" s="433"/>
      <c r="B86" s="437">
        <v>10</v>
      </c>
      <c r="C86" s="437">
        <v>82</v>
      </c>
      <c r="D86" s="434">
        <v>43.531156000000003</v>
      </c>
      <c r="E86" s="434">
        <v>43.201228</v>
      </c>
      <c r="F86" s="434">
        <v>44.079639</v>
      </c>
      <c r="G86" s="434">
        <v>23</v>
      </c>
    </row>
    <row r="87" spans="1:7" ht="18.600000000000001" thickBot="1" x14ac:dyDescent="0.3">
      <c r="A87" s="433"/>
      <c r="B87" s="437">
        <v>11</v>
      </c>
      <c r="C87" s="437">
        <v>83</v>
      </c>
      <c r="D87" s="434">
        <v>43.291449</v>
      </c>
      <c r="E87" s="434">
        <v>42.960693999999997</v>
      </c>
      <c r="F87" s="434">
        <v>43.587480999999997</v>
      </c>
      <c r="G87" s="434">
        <v>21</v>
      </c>
    </row>
    <row r="88" spans="1:7" ht="18.600000000000001" thickBot="1" x14ac:dyDescent="0.3">
      <c r="A88" s="433"/>
      <c r="B88" s="437">
        <v>12</v>
      </c>
      <c r="C88" s="437">
        <v>84</v>
      </c>
      <c r="D88" s="434">
        <v>43.324573999999998</v>
      </c>
      <c r="E88" s="434">
        <v>42.994179000000003</v>
      </c>
      <c r="F88" s="434">
        <v>44.067166</v>
      </c>
      <c r="G88" s="434">
        <v>20</v>
      </c>
    </row>
    <row r="89" spans="1:7" ht="18.600000000000001" thickBot="1" x14ac:dyDescent="0.3">
      <c r="A89" s="433">
        <v>2003</v>
      </c>
      <c r="B89" s="437">
        <v>1</v>
      </c>
      <c r="C89" s="437">
        <v>85</v>
      </c>
      <c r="D89" s="434">
        <v>42.793104999999997</v>
      </c>
      <c r="E89" s="434">
        <v>42.526237000000002</v>
      </c>
      <c r="F89" s="434">
        <v>43.628849000000002</v>
      </c>
      <c r="G89" s="434">
        <v>22</v>
      </c>
    </row>
    <row r="90" spans="1:7" ht="18.600000000000001" thickBot="1" x14ac:dyDescent="0.3">
      <c r="A90" s="433"/>
      <c r="B90" s="437">
        <v>2</v>
      </c>
      <c r="C90" s="437">
        <v>86</v>
      </c>
      <c r="D90" s="434">
        <v>42.934480999999998</v>
      </c>
      <c r="E90" s="434">
        <v>42.493070000000003</v>
      </c>
      <c r="F90" s="434">
        <v>43.218943000000003</v>
      </c>
      <c r="G90" s="434">
        <v>20</v>
      </c>
    </row>
    <row r="91" spans="1:7" ht="18.600000000000001" thickBot="1" x14ac:dyDescent="0.3">
      <c r="A91" s="433"/>
      <c r="B91" s="437">
        <v>3</v>
      </c>
      <c r="C91" s="437">
        <v>87</v>
      </c>
      <c r="D91" s="434">
        <v>43.183956000000002</v>
      </c>
      <c r="E91" s="434">
        <v>41.915210000000002</v>
      </c>
      <c r="F91" s="434">
        <v>44.270860999999996</v>
      </c>
      <c r="G91" s="434">
        <v>21</v>
      </c>
    </row>
    <row r="92" spans="1:7" ht="18.600000000000001" thickBot="1" x14ac:dyDescent="0.3">
      <c r="A92" s="433"/>
      <c r="B92" s="437">
        <v>4</v>
      </c>
      <c r="C92" s="437">
        <v>88</v>
      </c>
      <c r="D92" s="434">
        <v>43.011549000000002</v>
      </c>
      <c r="E92" s="434">
        <v>42.551712999999999</v>
      </c>
      <c r="F92" s="434">
        <v>44.220658</v>
      </c>
      <c r="G92" s="434">
        <v>20</v>
      </c>
    </row>
    <row r="93" spans="1:7" ht="18.600000000000001" thickBot="1" x14ac:dyDescent="0.3">
      <c r="A93" s="433"/>
      <c r="B93" s="437">
        <v>5</v>
      </c>
      <c r="C93" s="437">
        <v>89</v>
      </c>
      <c r="D93" s="434">
        <v>42.025613</v>
      </c>
      <c r="E93" s="434">
        <v>40.428469</v>
      </c>
      <c r="F93" s="434">
        <v>42.643104000000001</v>
      </c>
      <c r="G93" s="434">
        <v>21</v>
      </c>
    </row>
    <row r="94" spans="1:7" ht="18.600000000000001" thickBot="1" x14ac:dyDescent="0.3">
      <c r="A94" s="433"/>
      <c r="B94" s="437">
        <v>6</v>
      </c>
      <c r="C94" s="437">
        <v>90</v>
      </c>
      <c r="D94" s="434">
        <v>41.663657000000001</v>
      </c>
      <c r="E94" s="434">
        <v>41.279209999999999</v>
      </c>
      <c r="F94" s="434">
        <v>42.504576</v>
      </c>
      <c r="G94" s="434">
        <v>21</v>
      </c>
    </row>
    <row r="95" spans="1:7" ht="18.600000000000001" thickBot="1" x14ac:dyDescent="0.3">
      <c r="A95" s="433"/>
      <c r="B95" s="437">
        <v>7</v>
      </c>
      <c r="C95" s="437">
        <v>91</v>
      </c>
      <c r="D95" s="434">
        <v>41.692281999999999</v>
      </c>
      <c r="E95" s="434">
        <v>41.380735999999999</v>
      </c>
      <c r="F95" s="434">
        <v>41.990239000000003</v>
      </c>
      <c r="G95" s="434">
        <v>23</v>
      </c>
    </row>
    <row r="96" spans="1:7" ht="18.600000000000001" thickBot="1" x14ac:dyDescent="0.3">
      <c r="A96" s="433"/>
      <c r="B96" s="437">
        <v>8</v>
      </c>
      <c r="C96" s="437">
        <v>92</v>
      </c>
      <c r="D96" s="434">
        <v>41.618830000000003</v>
      </c>
      <c r="E96" s="434">
        <v>41.059925999999997</v>
      </c>
      <c r="F96" s="434">
        <v>42.055483000000002</v>
      </c>
      <c r="G96" s="434">
        <v>21</v>
      </c>
    </row>
    <row r="97" spans="1:7" ht="18.600000000000001" thickBot="1" x14ac:dyDescent="0.3">
      <c r="A97" s="433"/>
      <c r="B97" s="437">
        <v>9</v>
      </c>
      <c r="C97" s="437">
        <v>93</v>
      </c>
      <c r="D97" s="434">
        <v>40.426895999999999</v>
      </c>
      <c r="E97" s="434">
        <v>39.938685999999997</v>
      </c>
      <c r="F97" s="434">
        <v>41.061751999999998</v>
      </c>
      <c r="G97" s="434">
        <v>22</v>
      </c>
    </row>
    <row r="98" spans="1:7" ht="18.600000000000001" thickBot="1" x14ac:dyDescent="0.3">
      <c r="A98" s="433"/>
      <c r="B98" s="437">
        <v>10</v>
      </c>
      <c r="C98" s="437">
        <v>94</v>
      </c>
      <c r="D98" s="434">
        <v>39.692819</v>
      </c>
      <c r="E98" s="434">
        <v>39.034095999999998</v>
      </c>
      <c r="F98" s="434">
        <v>40.007828000000003</v>
      </c>
      <c r="G98" s="434">
        <v>23</v>
      </c>
    </row>
    <row r="99" spans="1:7" ht="18.600000000000001" thickBot="1" x14ac:dyDescent="0.3">
      <c r="A99" s="433"/>
      <c r="B99" s="437">
        <v>11</v>
      </c>
      <c r="C99" s="437">
        <v>95</v>
      </c>
      <c r="D99" s="434">
        <v>39.870109999999997</v>
      </c>
      <c r="E99" s="434">
        <v>39.721733999999998</v>
      </c>
      <c r="F99" s="434">
        <v>39.958098999999997</v>
      </c>
      <c r="G99" s="434">
        <v>20</v>
      </c>
    </row>
    <row r="100" spans="1:7" ht="18.600000000000001" thickBot="1" x14ac:dyDescent="0.3">
      <c r="A100" s="433"/>
      <c r="B100" s="437">
        <v>12</v>
      </c>
      <c r="C100" s="437">
        <v>96</v>
      </c>
      <c r="D100" s="434">
        <v>39.637656999999997</v>
      </c>
      <c r="E100" s="434">
        <v>38.902065</v>
      </c>
      <c r="F100" s="434">
        <v>39.903900999999998</v>
      </c>
      <c r="G100" s="434">
        <v>21</v>
      </c>
    </row>
    <row r="101" spans="1:7" ht="18.600000000000001" thickBot="1" x14ac:dyDescent="0.3">
      <c r="A101" s="433">
        <v>2004</v>
      </c>
      <c r="B101" s="437">
        <v>1</v>
      </c>
      <c r="C101" s="437">
        <v>97</v>
      </c>
      <c r="D101" s="434">
        <v>39.157677999999997</v>
      </c>
      <c r="E101" s="434">
        <v>38.808421000000003</v>
      </c>
      <c r="F101" s="434">
        <v>40.462035999999998</v>
      </c>
      <c r="G101" s="434">
        <v>21</v>
      </c>
    </row>
    <row r="102" spans="1:7" ht="18.600000000000001" thickBot="1" x14ac:dyDescent="0.3">
      <c r="A102" s="433"/>
      <c r="B102" s="437">
        <v>2</v>
      </c>
      <c r="C102" s="437">
        <v>98</v>
      </c>
      <c r="D102" s="434">
        <v>39.001725999999998</v>
      </c>
      <c r="E102" s="434">
        <v>38.470325000000003</v>
      </c>
      <c r="F102" s="434">
        <v>39.291683999999997</v>
      </c>
      <c r="G102" s="434">
        <v>20</v>
      </c>
    </row>
    <row r="103" spans="1:7" ht="18.600000000000001" thickBot="1" x14ac:dyDescent="0.3">
      <c r="A103" s="433"/>
      <c r="B103" s="437">
        <v>3</v>
      </c>
      <c r="C103" s="437">
        <v>99</v>
      </c>
      <c r="D103" s="434">
        <v>39.315218000000002</v>
      </c>
      <c r="E103" s="434">
        <v>39.085572999999997</v>
      </c>
      <c r="F103" s="434">
        <v>39.546137000000002</v>
      </c>
      <c r="G103" s="434">
        <v>23</v>
      </c>
    </row>
    <row r="104" spans="1:7" ht="18.600000000000001" thickBot="1" x14ac:dyDescent="0.3">
      <c r="A104" s="433"/>
      <c r="B104" s="437">
        <v>4</v>
      </c>
      <c r="C104" s="437">
        <v>100</v>
      </c>
      <c r="D104" s="434">
        <v>39.431696000000002</v>
      </c>
      <c r="E104" s="434">
        <v>38.860137999999999</v>
      </c>
      <c r="F104" s="434">
        <v>39.96808</v>
      </c>
      <c r="G104" s="434">
        <v>20</v>
      </c>
    </row>
    <row r="105" spans="1:7" ht="18.600000000000001" thickBot="1" x14ac:dyDescent="0.3">
      <c r="A105" s="433"/>
      <c r="B105" s="437">
        <v>5</v>
      </c>
      <c r="C105" s="437">
        <v>101</v>
      </c>
      <c r="D105" s="434">
        <v>40.451337000000002</v>
      </c>
      <c r="E105" s="434">
        <v>39.796512999999997</v>
      </c>
      <c r="F105" s="434">
        <v>40.894810999999997</v>
      </c>
      <c r="G105" s="434">
        <v>21</v>
      </c>
    </row>
    <row r="106" spans="1:7" ht="18.600000000000001" thickBot="1" x14ac:dyDescent="0.3">
      <c r="A106" s="433"/>
      <c r="B106" s="437">
        <v>6</v>
      </c>
      <c r="C106" s="437">
        <v>102</v>
      </c>
      <c r="D106" s="434">
        <v>40.764352000000002</v>
      </c>
      <c r="E106" s="434">
        <v>40.386032</v>
      </c>
      <c r="F106" s="434">
        <v>41.061273</v>
      </c>
      <c r="G106" s="434">
        <v>22</v>
      </c>
    </row>
    <row r="107" spans="1:7" ht="18.600000000000001" thickBot="1" x14ac:dyDescent="0.3">
      <c r="A107" s="433"/>
      <c r="B107" s="437">
        <v>7</v>
      </c>
      <c r="C107" s="437">
        <v>103</v>
      </c>
      <c r="D107" s="434">
        <v>40.710123000000003</v>
      </c>
      <c r="E107" s="434">
        <v>40.191668999999997</v>
      </c>
      <c r="F107" s="434">
        <v>41.433535999999997</v>
      </c>
      <c r="G107" s="434">
        <v>22</v>
      </c>
    </row>
    <row r="108" spans="1:7" ht="18.600000000000001" thickBot="1" x14ac:dyDescent="0.3">
      <c r="A108" s="433"/>
      <c r="B108" s="437">
        <v>8</v>
      </c>
      <c r="C108" s="437">
        <v>104</v>
      </c>
      <c r="D108" s="434">
        <v>41.497435000000003</v>
      </c>
      <c r="E108" s="434">
        <v>41.258226999999998</v>
      </c>
      <c r="F108" s="434">
        <v>41.674995000000003</v>
      </c>
      <c r="G108" s="434">
        <v>22</v>
      </c>
    </row>
    <row r="109" spans="1:7" ht="18.600000000000001" thickBot="1" x14ac:dyDescent="0.3">
      <c r="A109" s="433"/>
      <c r="B109" s="437">
        <v>9</v>
      </c>
      <c r="C109" s="437">
        <v>105</v>
      </c>
      <c r="D109" s="434">
        <v>41.472130999999997</v>
      </c>
      <c r="E109" s="434">
        <v>41.253120000000003</v>
      </c>
      <c r="F109" s="434">
        <v>41.676358</v>
      </c>
      <c r="G109" s="434">
        <v>22</v>
      </c>
    </row>
    <row r="110" spans="1:7" ht="18.600000000000001" thickBot="1" x14ac:dyDescent="0.3">
      <c r="A110" s="433"/>
      <c r="B110" s="437">
        <v>10</v>
      </c>
      <c r="C110" s="437">
        <v>106</v>
      </c>
      <c r="D110" s="434">
        <v>41.296944000000003</v>
      </c>
      <c r="E110" s="434">
        <v>40.970592000000003</v>
      </c>
      <c r="F110" s="434">
        <v>41.469563999999998</v>
      </c>
      <c r="G110" s="434">
        <v>21</v>
      </c>
    </row>
    <row r="111" spans="1:7" ht="18.600000000000001" thickBot="1" x14ac:dyDescent="0.3">
      <c r="A111" s="433"/>
      <c r="B111" s="437">
        <v>11</v>
      </c>
      <c r="C111" s="437">
        <v>107</v>
      </c>
      <c r="D111" s="434">
        <v>40.308601000000003</v>
      </c>
      <c r="E111" s="434">
        <v>39.440930000000002</v>
      </c>
      <c r="F111" s="434">
        <v>41.174599999999998</v>
      </c>
      <c r="G111" s="434">
        <v>22</v>
      </c>
    </row>
    <row r="112" spans="1:7" ht="18.600000000000001" thickBot="1" x14ac:dyDescent="0.3">
      <c r="A112" s="433"/>
      <c r="B112" s="437">
        <v>12</v>
      </c>
      <c r="C112" s="437">
        <v>108</v>
      </c>
      <c r="D112" s="434">
        <v>39.205801999999998</v>
      </c>
      <c r="E112" s="434">
        <v>38.909157999999998</v>
      </c>
      <c r="F112" s="434">
        <v>39.796081999999998</v>
      </c>
      <c r="G112" s="434">
        <v>23</v>
      </c>
    </row>
    <row r="113" spans="1:7" ht="18.600000000000001" thickBot="1" x14ac:dyDescent="0.3">
      <c r="A113" s="433">
        <v>2005</v>
      </c>
      <c r="B113" s="437">
        <v>1</v>
      </c>
      <c r="C113" s="437">
        <v>109</v>
      </c>
      <c r="D113" s="434">
        <v>38.75873</v>
      </c>
      <c r="E113" s="434">
        <v>38.443826999999999</v>
      </c>
      <c r="F113" s="434">
        <v>39.273336999999998</v>
      </c>
      <c r="G113" s="434">
        <v>21</v>
      </c>
    </row>
    <row r="114" spans="1:7" ht="18.600000000000001" thickBot="1" x14ac:dyDescent="0.3">
      <c r="A114" s="433"/>
      <c r="B114" s="437">
        <v>2</v>
      </c>
      <c r="C114" s="437">
        <v>110</v>
      </c>
      <c r="D114" s="434">
        <v>38.470537</v>
      </c>
      <c r="E114" s="434">
        <v>38.181528</v>
      </c>
      <c r="F114" s="434">
        <v>38.662391</v>
      </c>
      <c r="G114" s="434">
        <v>20</v>
      </c>
    </row>
    <row r="115" spans="1:7" ht="18.600000000000001" thickBot="1" x14ac:dyDescent="0.3">
      <c r="A115" s="433"/>
      <c r="B115" s="437">
        <v>3</v>
      </c>
      <c r="C115" s="437">
        <v>111</v>
      </c>
      <c r="D115" s="434">
        <v>38.536887999999998</v>
      </c>
      <c r="E115" s="434">
        <v>38.284086000000002</v>
      </c>
      <c r="F115" s="434">
        <v>39.342351000000001</v>
      </c>
      <c r="G115" s="434">
        <v>21</v>
      </c>
    </row>
    <row r="116" spans="1:7" ht="18.600000000000001" thickBot="1" x14ac:dyDescent="0.3">
      <c r="A116" s="433"/>
      <c r="B116" s="437">
        <v>4</v>
      </c>
      <c r="C116" s="437">
        <v>112</v>
      </c>
      <c r="D116" s="434">
        <v>39.537623000000004</v>
      </c>
      <c r="E116" s="434">
        <v>39.248123999999997</v>
      </c>
      <c r="F116" s="434">
        <v>39.721843</v>
      </c>
      <c r="G116" s="434">
        <v>21</v>
      </c>
    </row>
    <row r="117" spans="1:7" ht="18.600000000000001" thickBot="1" x14ac:dyDescent="0.3">
      <c r="A117" s="433"/>
      <c r="B117" s="437">
        <v>5</v>
      </c>
      <c r="C117" s="437">
        <v>113</v>
      </c>
      <c r="D117" s="434">
        <v>39.811642999999997</v>
      </c>
      <c r="E117" s="434">
        <v>39.178327000000003</v>
      </c>
      <c r="F117" s="434">
        <v>40.629660999999999</v>
      </c>
      <c r="G117" s="434">
        <v>22</v>
      </c>
    </row>
    <row r="118" spans="1:7" ht="18.600000000000001" thickBot="1" x14ac:dyDescent="0.3">
      <c r="A118" s="433"/>
      <c r="B118" s="437">
        <v>6</v>
      </c>
      <c r="C118" s="437">
        <v>114</v>
      </c>
      <c r="D118" s="434">
        <v>40.935673999999999</v>
      </c>
      <c r="E118" s="434">
        <v>40.531792000000003</v>
      </c>
      <c r="F118" s="434">
        <v>41.316575</v>
      </c>
      <c r="G118" s="434">
        <v>22</v>
      </c>
    </row>
    <row r="119" spans="1:7" ht="18.600000000000001" thickBot="1" x14ac:dyDescent="0.3">
      <c r="A119" s="433"/>
      <c r="B119" s="437">
        <v>7</v>
      </c>
      <c r="C119" s="437">
        <v>115</v>
      </c>
      <c r="D119" s="434">
        <v>41.701224000000003</v>
      </c>
      <c r="E119" s="434">
        <v>41.303052999999998</v>
      </c>
      <c r="F119" s="434">
        <v>42.137937000000001</v>
      </c>
      <c r="G119" s="434">
        <v>21</v>
      </c>
    </row>
    <row r="120" spans="1:7" ht="18.600000000000001" thickBot="1" x14ac:dyDescent="0.3">
      <c r="A120" s="433"/>
      <c r="B120" s="437">
        <v>8</v>
      </c>
      <c r="C120" s="437">
        <v>116</v>
      </c>
      <c r="D120" s="434">
        <v>41.167287999999999</v>
      </c>
      <c r="E120" s="434">
        <v>40.819619000000003</v>
      </c>
      <c r="F120" s="434">
        <v>41.558228999999997</v>
      </c>
      <c r="G120" s="434">
        <v>23</v>
      </c>
    </row>
    <row r="121" spans="1:7" ht="18.600000000000001" thickBot="1" x14ac:dyDescent="0.3">
      <c r="A121" s="433"/>
      <c r="B121" s="437">
        <v>9</v>
      </c>
      <c r="C121" s="437">
        <v>117</v>
      </c>
      <c r="D121" s="434">
        <v>41.044158000000003</v>
      </c>
      <c r="E121" s="434">
        <v>40.843010999999997</v>
      </c>
      <c r="F121" s="434">
        <v>41.265065</v>
      </c>
      <c r="G121" s="434">
        <v>22</v>
      </c>
    </row>
    <row r="122" spans="1:7" ht="18.600000000000001" thickBot="1" x14ac:dyDescent="0.3">
      <c r="A122" s="433"/>
      <c r="B122" s="437">
        <v>10</v>
      </c>
      <c r="C122" s="437">
        <v>118</v>
      </c>
      <c r="D122" s="434">
        <v>40.911788000000001</v>
      </c>
      <c r="E122" s="434">
        <v>40.768343000000002</v>
      </c>
      <c r="F122" s="434">
        <v>41.163161000000002</v>
      </c>
      <c r="G122" s="434">
        <v>21</v>
      </c>
    </row>
    <row r="123" spans="1:7" ht="18.600000000000001" thickBot="1" x14ac:dyDescent="0.3">
      <c r="A123" s="433"/>
      <c r="B123" s="437">
        <v>11</v>
      </c>
      <c r="C123" s="437">
        <v>119</v>
      </c>
      <c r="D123" s="434">
        <v>41.126539000000001</v>
      </c>
      <c r="E123" s="434">
        <v>40.785310000000003</v>
      </c>
      <c r="F123" s="434">
        <v>41.264710999999998</v>
      </c>
      <c r="G123" s="434">
        <v>22</v>
      </c>
    </row>
    <row r="124" spans="1:7" ht="18.600000000000001" thickBot="1" x14ac:dyDescent="0.3">
      <c r="A124" s="433"/>
      <c r="B124" s="437">
        <v>12</v>
      </c>
      <c r="C124" s="437">
        <v>120</v>
      </c>
      <c r="D124" s="434">
        <v>41.103248999999998</v>
      </c>
      <c r="E124" s="434">
        <v>40.896740999999999</v>
      </c>
      <c r="F124" s="434">
        <v>41.421731999999999</v>
      </c>
      <c r="G124" s="434">
        <v>21</v>
      </c>
    </row>
    <row r="125" spans="1:7" ht="18.600000000000001" thickBot="1" x14ac:dyDescent="0.3">
      <c r="A125" s="433">
        <v>2006</v>
      </c>
      <c r="B125" s="437">
        <v>1</v>
      </c>
      <c r="C125" s="437">
        <v>121</v>
      </c>
      <c r="D125" s="434">
        <v>39.634391999999998</v>
      </c>
      <c r="E125" s="434">
        <v>38.896687</v>
      </c>
      <c r="F125" s="434">
        <v>41.024859999999997</v>
      </c>
      <c r="G125" s="434">
        <v>22</v>
      </c>
    </row>
    <row r="126" spans="1:7" ht="18.600000000000001" thickBot="1" x14ac:dyDescent="0.3">
      <c r="A126" s="433"/>
      <c r="B126" s="437">
        <v>2</v>
      </c>
      <c r="C126" s="437">
        <v>122</v>
      </c>
      <c r="D126" s="434">
        <v>39.380654</v>
      </c>
      <c r="E126" s="434">
        <v>39.179789</v>
      </c>
      <c r="F126" s="434">
        <v>39.748075</v>
      </c>
      <c r="G126" s="434">
        <v>20</v>
      </c>
    </row>
    <row r="127" spans="1:7" ht="18.600000000000001" thickBot="1" x14ac:dyDescent="0.3">
      <c r="A127" s="433"/>
      <c r="B127" s="437">
        <v>3</v>
      </c>
      <c r="C127" s="437">
        <v>123</v>
      </c>
      <c r="D127" s="434">
        <v>38.965761000000001</v>
      </c>
      <c r="E127" s="434">
        <v>38.596594000000003</v>
      </c>
      <c r="F127" s="434">
        <v>39.201779000000002</v>
      </c>
      <c r="G127" s="434">
        <v>23</v>
      </c>
    </row>
    <row r="128" spans="1:7" ht="18.600000000000001" thickBot="1" x14ac:dyDescent="0.3">
      <c r="A128" s="433"/>
      <c r="B128" s="437">
        <v>4</v>
      </c>
      <c r="C128" s="437">
        <v>124</v>
      </c>
      <c r="D128" s="434">
        <v>37.99371</v>
      </c>
      <c r="E128" s="434">
        <v>37.524926000000001</v>
      </c>
      <c r="F128" s="434">
        <v>38.851861</v>
      </c>
      <c r="G128" s="434">
        <v>18</v>
      </c>
    </row>
    <row r="129" spans="1:7" ht="18.600000000000001" thickBot="1" x14ac:dyDescent="0.3">
      <c r="A129" s="433"/>
      <c r="B129" s="437">
        <v>5</v>
      </c>
      <c r="C129" s="437">
        <v>125</v>
      </c>
      <c r="D129" s="434">
        <v>38.006735999999997</v>
      </c>
      <c r="E129" s="434">
        <v>37.489809000000001</v>
      </c>
      <c r="F129" s="434">
        <v>38.460042000000001</v>
      </c>
      <c r="G129" s="434">
        <v>22</v>
      </c>
    </row>
    <row r="130" spans="1:7" ht="18.600000000000001" thickBot="1" x14ac:dyDescent="0.3">
      <c r="A130" s="433"/>
      <c r="B130" s="437">
        <v>6</v>
      </c>
      <c r="C130" s="437">
        <v>126</v>
      </c>
      <c r="D130" s="434">
        <v>38.373683</v>
      </c>
      <c r="E130" s="434">
        <v>38.138601999999999</v>
      </c>
      <c r="F130" s="434">
        <v>38.531540999999997</v>
      </c>
      <c r="G130" s="434">
        <v>22</v>
      </c>
    </row>
    <row r="131" spans="1:7" ht="18.600000000000001" thickBot="1" x14ac:dyDescent="0.3">
      <c r="A131" s="433"/>
      <c r="B131" s="437">
        <v>7</v>
      </c>
      <c r="C131" s="437">
        <v>127</v>
      </c>
      <c r="D131" s="434">
        <v>37.99933</v>
      </c>
      <c r="E131" s="434">
        <v>37.807960999999999</v>
      </c>
      <c r="F131" s="434">
        <v>38.238712</v>
      </c>
      <c r="G131" s="434">
        <v>21</v>
      </c>
    </row>
    <row r="132" spans="1:7" ht="18.600000000000001" thickBot="1" x14ac:dyDescent="0.3">
      <c r="A132" s="433"/>
      <c r="B132" s="437">
        <v>8</v>
      </c>
      <c r="C132" s="437">
        <v>128</v>
      </c>
      <c r="D132" s="434">
        <v>37.617058</v>
      </c>
      <c r="E132" s="434">
        <v>37.401321000000003</v>
      </c>
      <c r="F132" s="434">
        <v>37.939521999999997</v>
      </c>
      <c r="G132" s="434">
        <v>23</v>
      </c>
    </row>
    <row r="133" spans="1:7" ht="18.600000000000001" thickBot="1" x14ac:dyDescent="0.3">
      <c r="A133" s="433"/>
      <c r="B133" s="437">
        <v>9</v>
      </c>
      <c r="C133" s="437">
        <v>129</v>
      </c>
      <c r="D133" s="434">
        <v>37.430276999999997</v>
      </c>
      <c r="E133" s="434">
        <v>37.254623000000002</v>
      </c>
      <c r="F133" s="434">
        <v>37.727989999999998</v>
      </c>
      <c r="G133" s="434">
        <v>21</v>
      </c>
    </row>
    <row r="134" spans="1:7" ht="18.600000000000001" thickBot="1" x14ac:dyDescent="0.3">
      <c r="A134" s="433"/>
      <c r="B134" s="437">
        <v>10</v>
      </c>
      <c r="C134" s="437">
        <v>130</v>
      </c>
      <c r="D134" s="434">
        <v>37.323211000000001</v>
      </c>
      <c r="E134" s="434">
        <v>36.728001999999996</v>
      </c>
      <c r="F134" s="434">
        <v>37.609774999999999</v>
      </c>
      <c r="G134" s="434">
        <v>22</v>
      </c>
    </row>
    <row r="135" spans="1:7" ht="18.600000000000001" thickBot="1" x14ac:dyDescent="0.3">
      <c r="A135" s="433"/>
      <c r="B135" s="437">
        <v>11</v>
      </c>
      <c r="C135" s="437">
        <v>131</v>
      </c>
      <c r="D135" s="434">
        <v>36.527009999999997</v>
      </c>
      <c r="E135" s="434">
        <v>35.908332999999999</v>
      </c>
      <c r="F135" s="434">
        <v>36.731791000000001</v>
      </c>
      <c r="G135" s="434">
        <v>22</v>
      </c>
    </row>
    <row r="136" spans="1:7" ht="18.600000000000001" thickBot="1" x14ac:dyDescent="0.3">
      <c r="A136" s="433"/>
      <c r="B136" s="437">
        <v>12</v>
      </c>
      <c r="C136" s="437">
        <v>132</v>
      </c>
      <c r="D136" s="434">
        <v>35.741857000000003</v>
      </c>
      <c r="E136" s="434">
        <v>35.260005999999997</v>
      </c>
      <c r="F136" s="434">
        <v>36.544998999999997</v>
      </c>
      <c r="G136" s="434">
        <v>19</v>
      </c>
    </row>
    <row r="137" spans="1:7" ht="18.600000000000001" thickBot="1" x14ac:dyDescent="0.3">
      <c r="A137" s="433">
        <v>2007</v>
      </c>
      <c r="B137" s="437">
        <v>1</v>
      </c>
      <c r="C137" s="437">
        <v>133</v>
      </c>
      <c r="D137" s="434">
        <v>35.271273000000001</v>
      </c>
      <c r="E137" s="434">
        <v>33.374932000000001</v>
      </c>
      <c r="F137" s="434">
        <v>36.061748999999999</v>
      </c>
      <c r="G137" s="434">
        <v>22</v>
      </c>
    </row>
    <row r="138" spans="1:7" ht="18.600000000000001" thickBot="1" x14ac:dyDescent="0.3">
      <c r="A138" s="433"/>
      <c r="B138" s="437">
        <v>2</v>
      </c>
      <c r="C138" s="437">
        <v>134</v>
      </c>
      <c r="D138" s="434">
        <v>33.987544999999997</v>
      </c>
      <c r="E138" s="434">
        <v>33.306834000000002</v>
      </c>
      <c r="F138" s="434">
        <v>35.149769999999997</v>
      </c>
      <c r="G138" s="434">
        <v>20</v>
      </c>
    </row>
    <row r="139" spans="1:7" ht="18.600000000000001" thickBot="1" x14ac:dyDescent="0.3">
      <c r="A139" s="433"/>
      <c r="B139" s="437">
        <v>3</v>
      </c>
      <c r="C139" s="437">
        <v>135</v>
      </c>
      <c r="D139" s="434">
        <v>32.716051</v>
      </c>
      <c r="E139" s="434">
        <v>31.816613</v>
      </c>
      <c r="F139" s="434">
        <v>33.782986999999999</v>
      </c>
      <c r="G139" s="434">
        <v>22</v>
      </c>
    </row>
    <row r="140" spans="1:7" ht="18.600000000000001" thickBot="1" x14ac:dyDescent="0.3">
      <c r="A140" s="433"/>
      <c r="B140" s="437">
        <v>4</v>
      </c>
      <c r="C140" s="437">
        <v>136</v>
      </c>
      <c r="D140" s="434">
        <v>32.560687999999999</v>
      </c>
      <c r="E140" s="434">
        <v>32.383324999999999</v>
      </c>
      <c r="F140" s="434">
        <v>32.815140999999997</v>
      </c>
      <c r="G140" s="434">
        <v>19</v>
      </c>
    </row>
    <row r="141" spans="1:7" ht="18.600000000000001" thickBot="1" x14ac:dyDescent="0.3">
      <c r="A141" s="433"/>
      <c r="B141" s="437">
        <v>5</v>
      </c>
      <c r="C141" s="437">
        <v>137</v>
      </c>
      <c r="D141" s="434">
        <v>32.940393</v>
      </c>
      <c r="E141" s="434">
        <v>32.563349000000002</v>
      </c>
      <c r="F141" s="434">
        <v>33.426310000000001</v>
      </c>
      <c r="G141" s="434">
        <v>22</v>
      </c>
    </row>
    <row r="142" spans="1:7" ht="18.600000000000001" thickBot="1" x14ac:dyDescent="0.3">
      <c r="A142" s="433"/>
      <c r="B142" s="437">
        <v>6</v>
      </c>
      <c r="C142" s="437">
        <v>138</v>
      </c>
      <c r="D142" s="434">
        <v>32.411856</v>
      </c>
      <c r="E142" s="434">
        <v>31.55498</v>
      </c>
      <c r="F142" s="434">
        <v>32.906444</v>
      </c>
      <c r="G142" s="434">
        <v>21</v>
      </c>
    </row>
    <row r="143" spans="1:7" ht="18.600000000000001" thickBot="1" x14ac:dyDescent="0.3">
      <c r="A143" s="433"/>
      <c r="B143" s="437">
        <v>7</v>
      </c>
      <c r="C143" s="437">
        <v>139</v>
      </c>
      <c r="D143" s="434">
        <v>30.530823999999999</v>
      </c>
      <c r="E143" s="434">
        <v>29.500036000000001</v>
      </c>
      <c r="F143" s="434">
        <v>31.839859000000001</v>
      </c>
      <c r="G143" s="434">
        <v>22</v>
      </c>
    </row>
    <row r="144" spans="1:7" ht="18.600000000000001" thickBot="1" x14ac:dyDescent="0.3">
      <c r="A144" s="433"/>
      <c r="B144" s="437">
        <v>8</v>
      </c>
      <c r="C144" s="437">
        <v>140</v>
      </c>
      <c r="D144" s="434">
        <v>31.819423</v>
      </c>
      <c r="E144" s="434">
        <v>29.813057000000001</v>
      </c>
      <c r="F144" s="434">
        <v>33.375203999999997</v>
      </c>
      <c r="G144" s="434">
        <v>23</v>
      </c>
    </row>
    <row r="145" spans="1:7" ht="18.600000000000001" thickBot="1" x14ac:dyDescent="0.3">
      <c r="A145" s="433"/>
      <c r="B145" s="437">
        <v>9</v>
      </c>
      <c r="C145" s="437">
        <v>141</v>
      </c>
      <c r="D145" s="434">
        <v>32.076779999999999</v>
      </c>
      <c r="E145" s="434">
        <v>31.678419999999999</v>
      </c>
      <c r="F145" s="434">
        <v>32.545175</v>
      </c>
      <c r="G145" s="434">
        <v>20</v>
      </c>
    </row>
    <row r="146" spans="1:7" ht="18.600000000000001" thickBot="1" x14ac:dyDescent="0.3">
      <c r="A146" s="433"/>
      <c r="B146" s="437">
        <v>10</v>
      </c>
      <c r="C146" s="437">
        <v>142</v>
      </c>
      <c r="D146" s="434">
        <v>31.556919000000001</v>
      </c>
      <c r="E146" s="434">
        <v>31.391866</v>
      </c>
      <c r="F146" s="434">
        <v>31.82968</v>
      </c>
      <c r="G146" s="434">
        <v>23</v>
      </c>
    </row>
    <row r="147" spans="1:7" ht="18.600000000000001" thickBot="1" x14ac:dyDescent="0.3">
      <c r="A147" s="433"/>
      <c r="B147" s="437">
        <v>11</v>
      </c>
      <c r="C147" s="437">
        <v>143</v>
      </c>
      <c r="D147" s="434">
        <v>31.410345</v>
      </c>
      <c r="E147" s="434">
        <v>30.733013</v>
      </c>
      <c r="F147" s="434">
        <v>31.766697000000001</v>
      </c>
      <c r="G147" s="434">
        <v>22</v>
      </c>
    </row>
    <row r="148" spans="1:7" ht="18.600000000000001" thickBot="1" x14ac:dyDescent="0.3">
      <c r="A148" s="433"/>
      <c r="B148" s="437">
        <v>12</v>
      </c>
      <c r="C148" s="437">
        <v>144</v>
      </c>
      <c r="D148" s="434">
        <v>30.30378</v>
      </c>
      <c r="E148" s="434">
        <v>29.753412999999998</v>
      </c>
      <c r="F148" s="434">
        <v>30.698644000000002</v>
      </c>
      <c r="G148" s="434">
        <v>19</v>
      </c>
    </row>
    <row r="149" spans="1:7" ht="18.600000000000001" thickBot="1" x14ac:dyDescent="0.3">
      <c r="A149" s="433">
        <v>2008</v>
      </c>
      <c r="B149" s="437">
        <v>1</v>
      </c>
      <c r="C149" s="437">
        <v>145</v>
      </c>
      <c r="D149" s="434">
        <v>30.411498000000002</v>
      </c>
      <c r="E149" s="434">
        <v>29.410039999999999</v>
      </c>
      <c r="F149" s="434">
        <v>31.525321000000002</v>
      </c>
      <c r="G149" s="434">
        <v>22</v>
      </c>
    </row>
    <row r="150" spans="1:7" ht="18.600000000000001" thickBot="1" x14ac:dyDescent="0.3">
      <c r="A150" s="433"/>
      <c r="B150" s="437">
        <v>2</v>
      </c>
      <c r="C150" s="437">
        <v>146</v>
      </c>
      <c r="D150" s="434">
        <v>31.254071</v>
      </c>
      <c r="E150" s="434">
        <v>29.700417000000002</v>
      </c>
      <c r="F150" s="434">
        <v>32.194937000000003</v>
      </c>
      <c r="G150" s="434">
        <v>21</v>
      </c>
    </row>
    <row r="151" spans="1:7" ht="18.600000000000001" thickBot="1" x14ac:dyDescent="0.3">
      <c r="A151" s="433"/>
      <c r="B151" s="437">
        <v>3</v>
      </c>
      <c r="C151" s="437">
        <v>147</v>
      </c>
      <c r="D151" s="434">
        <v>31.462160000000001</v>
      </c>
      <c r="E151" s="434">
        <v>31.150268000000001</v>
      </c>
      <c r="F151" s="434">
        <v>31.649674000000001</v>
      </c>
      <c r="G151" s="434">
        <v>19</v>
      </c>
    </row>
    <row r="152" spans="1:7" ht="18.600000000000001" thickBot="1" x14ac:dyDescent="0.3">
      <c r="A152" s="433"/>
      <c r="B152" s="437">
        <v>4</v>
      </c>
      <c r="C152" s="437">
        <v>148</v>
      </c>
      <c r="D152" s="434">
        <v>31.588106</v>
      </c>
      <c r="E152" s="434">
        <v>31.442332</v>
      </c>
      <c r="F152" s="434">
        <v>31.756326999999999</v>
      </c>
      <c r="G152" s="434">
        <v>22</v>
      </c>
    </row>
    <row r="153" spans="1:7" ht="18.600000000000001" thickBot="1" x14ac:dyDescent="0.3">
      <c r="A153" s="433"/>
      <c r="B153" s="437">
        <v>5</v>
      </c>
      <c r="C153" s="437">
        <v>149</v>
      </c>
      <c r="D153" s="434">
        <v>32.102791000000003</v>
      </c>
      <c r="E153" s="434">
        <v>31.690168</v>
      </c>
      <c r="F153" s="434">
        <v>32.502578999999997</v>
      </c>
      <c r="G153" s="434">
        <v>21</v>
      </c>
    </row>
    <row r="154" spans="1:7" ht="18.600000000000001" thickBot="1" x14ac:dyDescent="0.3">
      <c r="A154" s="433"/>
      <c r="B154" s="437">
        <v>6</v>
      </c>
      <c r="C154" s="437">
        <v>150</v>
      </c>
      <c r="D154" s="434">
        <v>33.207765000000002</v>
      </c>
      <c r="E154" s="434">
        <v>32.590038999999997</v>
      </c>
      <c r="F154" s="434">
        <v>33.579717000000002</v>
      </c>
      <c r="G154" s="434">
        <v>21</v>
      </c>
    </row>
    <row r="155" spans="1:7" ht="18.600000000000001" thickBot="1" x14ac:dyDescent="0.3">
      <c r="A155" s="433"/>
      <c r="B155" s="437">
        <v>7</v>
      </c>
      <c r="C155" s="437">
        <v>151</v>
      </c>
      <c r="D155" s="434">
        <v>33.495317</v>
      </c>
      <c r="E155" s="434">
        <v>33.327643000000002</v>
      </c>
      <c r="F155" s="434">
        <v>33.724739999999997</v>
      </c>
      <c r="G155" s="434">
        <v>23</v>
      </c>
    </row>
    <row r="156" spans="1:7" ht="18.600000000000001" thickBot="1" x14ac:dyDescent="0.3">
      <c r="A156" s="433"/>
      <c r="B156" s="437">
        <v>8</v>
      </c>
      <c r="C156" s="437">
        <v>152</v>
      </c>
      <c r="D156" s="434">
        <v>33.857787000000002</v>
      </c>
      <c r="E156" s="434">
        <v>33.53013</v>
      </c>
      <c r="F156" s="434">
        <v>34.249896999999997</v>
      </c>
      <c r="G156" s="434">
        <v>21</v>
      </c>
    </row>
    <row r="157" spans="1:7" ht="18.600000000000001" thickBot="1" x14ac:dyDescent="0.3">
      <c r="A157" s="433"/>
      <c r="B157" s="437">
        <v>9</v>
      </c>
      <c r="C157" s="437">
        <v>153</v>
      </c>
      <c r="D157" s="434">
        <v>34.287401000000003</v>
      </c>
      <c r="E157" s="434">
        <v>33.760097999999999</v>
      </c>
      <c r="F157" s="434">
        <v>34.770346000000004</v>
      </c>
      <c r="G157" s="434">
        <v>22</v>
      </c>
    </row>
    <row r="158" spans="1:7" ht="18.600000000000001" thickBot="1" x14ac:dyDescent="0.3">
      <c r="A158" s="433"/>
      <c r="B158" s="437">
        <v>10</v>
      </c>
      <c r="C158" s="437">
        <v>154</v>
      </c>
      <c r="D158" s="434">
        <v>34.442222000000001</v>
      </c>
      <c r="E158" s="434">
        <v>33.984802000000002</v>
      </c>
      <c r="F158" s="434">
        <v>35.059967</v>
      </c>
      <c r="G158" s="434">
        <v>23</v>
      </c>
    </row>
    <row r="159" spans="1:7" ht="18.600000000000001" thickBot="1" x14ac:dyDescent="0.3">
      <c r="A159" s="433"/>
      <c r="B159" s="437">
        <v>11</v>
      </c>
      <c r="C159" s="437">
        <v>155</v>
      </c>
      <c r="D159" s="434">
        <v>35.089812999999999</v>
      </c>
      <c r="E159" s="434">
        <v>34.944617999999998</v>
      </c>
      <c r="F159" s="434">
        <v>35.515047000000003</v>
      </c>
      <c r="G159" s="434">
        <v>20</v>
      </c>
    </row>
    <row r="160" spans="1:7" ht="18.600000000000001" thickBot="1" x14ac:dyDescent="0.3">
      <c r="A160" s="433"/>
      <c r="B160" s="437">
        <v>12</v>
      </c>
      <c r="C160" s="437">
        <v>156</v>
      </c>
      <c r="D160" s="434">
        <v>35.045721</v>
      </c>
      <c r="E160" s="434">
        <v>34.334975</v>
      </c>
      <c r="F160" s="434">
        <v>35.720177999999997</v>
      </c>
      <c r="G160" s="434">
        <v>21</v>
      </c>
    </row>
    <row r="161" spans="1:7" ht="18.600000000000001" thickBot="1" x14ac:dyDescent="0.3">
      <c r="A161" s="433">
        <v>2009</v>
      </c>
      <c r="B161" s="437">
        <v>1</v>
      </c>
      <c r="C161" s="437">
        <v>157</v>
      </c>
      <c r="D161" s="434">
        <v>34.911681999999999</v>
      </c>
      <c r="E161" s="434">
        <v>34.769941000000003</v>
      </c>
      <c r="F161" s="434">
        <v>35.069757000000003</v>
      </c>
      <c r="G161" s="434">
        <v>21</v>
      </c>
    </row>
    <row r="162" spans="1:7" ht="18.600000000000001" thickBot="1" x14ac:dyDescent="0.3">
      <c r="A162" s="433"/>
      <c r="B162" s="437">
        <v>2</v>
      </c>
      <c r="C162" s="437">
        <v>158</v>
      </c>
      <c r="D162" s="434">
        <v>35.322121000000003</v>
      </c>
      <c r="E162" s="434">
        <v>34.933686999999999</v>
      </c>
      <c r="F162" s="434">
        <v>36.154698000000003</v>
      </c>
      <c r="G162" s="434">
        <v>20</v>
      </c>
    </row>
    <row r="163" spans="1:7" ht="18.600000000000001" thickBot="1" x14ac:dyDescent="0.3">
      <c r="A163" s="433"/>
      <c r="B163" s="437">
        <v>3</v>
      </c>
      <c r="C163" s="437">
        <v>159</v>
      </c>
      <c r="D163" s="434">
        <v>35.770805000000003</v>
      </c>
      <c r="E163" s="434">
        <v>35.001837000000002</v>
      </c>
      <c r="F163" s="434">
        <v>36.250397</v>
      </c>
      <c r="G163" s="434">
        <v>22</v>
      </c>
    </row>
    <row r="164" spans="1:7" ht="18.600000000000001" thickBot="1" x14ac:dyDescent="0.3">
      <c r="A164" s="433"/>
      <c r="B164" s="437">
        <v>4</v>
      </c>
      <c r="C164" s="437">
        <v>160</v>
      </c>
      <c r="D164" s="434">
        <v>35.436926999999997</v>
      </c>
      <c r="E164" s="434">
        <v>35.260263999999999</v>
      </c>
      <c r="F164" s="434">
        <v>35.575350999999998</v>
      </c>
      <c r="G164" s="434">
        <v>20</v>
      </c>
    </row>
    <row r="165" spans="1:7" ht="18.600000000000001" thickBot="1" x14ac:dyDescent="0.3">
      <c r="A165" s="433"/>
      <c r="B165" s="437">
        <v>5</v>
      </c>
      <c r="C165" s="437">
        <v>161</v>
      </c>
      <c r="D165" s="434">
        <v>34.611831000000002</v>
      </c>
      <c r="E165" s="434">
        <v>34.314796000000001</v>
      </c>
      <c r="F165" s="434">
        <v>35.230280999999998</v>
      </c>
      <c r="G165" s="434">
        <v>20</v>
      </c>
    </row>
    <row r="166" spans="1:7" ht="18.600000000000001" thickBot="1" x14ac:dyDescent="0.3">
      <c r="A166" s="433"/>
      <c r="B166" s="437">
        <v>6</v>
      </c>
      <c r="C166" s="437">
        <v>162</v>
      </c>
      <c r="D166" s="434">
        <v>34.134146999999999</v>
      </c>
      <c r="E166" s="434">
        <v>34.034713000000004</v>
      </c>
      <c r="F166" s="434">
        <v>34.37473</v>
      </c>
      <c r="G166" s="434">
        <v>22</v>
      </c>
    </row>
    <row r="167" spans="1:7" ht="18.600000000000001" thickBot="1" x14ac:dyDescent="0.3">
      <c r="A167" s="433"/>
      <c r="B167" s="437">
        <v>7</v>
      </c>
      <c r="C167" s="437">
        <v>163</v>
      </c>
      <c r="D167" s="434">
        <v>34.050694</v>
      </c>
      <c r="E167" s="434">
        <v>33.944761</v>
      </c>
      <c r="F167" s="434">
        <v>34.155276999999998</v>
      </c>
      <c r="G167" s="434">
        <v>23</v>
      </c>
    </row>
    <row r="168" spans="1:7" ht="18.600000000000001" thickBot="1" x14ac:dyDescent="0.3">
      <c r="A168" s="433"/>
      <c r="B168" s="437">
        <v>8</v>
      </c>
      <c r="C168" s="437">
        <v>164</v>
      </c>
      <c r="D168" s="434">
        <v>34.022675</v>
      </c>
      <c r="E168" s="434">
        <v>33.975064000000003</v>
      </c>
      <c r="F168" s="434">
        <v>34.074758000000003</v>
      </c>
      <c r="G168" s="434">
        <v>21</v>
      </c>
    </row>
    <row r="169" spans="1:7" ht="18.600000000000001" thickBot="1" x14ac:dyDescent="0.3">
      <c r="A169" s="433"/>
      <c r="B169" s="437">
        <v>9</v>
      </c>
      <c r="C169" s="437">
        <v>165</v>
      </c>
      <c r="D169" s="434">
        <v>33.816319999999997</v>
      </c>
      <c r="E169" s="434">
        <v>33.454892999999998</v>
      </c>
      <c r="F169" s="434">
        <v>34.074463999999999</v>
      </c>
      <c r="G169" s="434">
        <v>22</v>
      </c>
    </row>
    <row r="170" spans="1:7" ht="18.600000000000001" thickBot="1" x14ac:dyDescent="0.3">
      <c r="A170" s="433"/>
      <c r="B170" s="437">
        <v>10</v>
      </c>
      <c r="C170" s="437">
        <v>166</v>
      </c>
      <c r="D170" s="434">
        <v>33.411647000000002</v>
      </c>
      <c r="E170" s="434">
        <v>33.295209999999997</v>
      </c>
      <c r="F170" s="434">
        <v>33.499730999999997</v>
      </c>
      <c r="G170" s="434">
        <v>22</v>
      </c>
    </row>
    <row r="171" spans="1:7" ht="18.600000000000001" thickBot="1" x14ac:dyDescent="0.3">
      <c r="A171" s="433"/>
      <c r="B171" s="437">
        <v>11</v>
      </c>
      <c r="C171" s="437">
        <v>167</v>
      </c>
      <c r="D171" s="434">
        <v>33.280045999999999</v>
      </c>
      <c r="E171" s="434">
        <v>33.135317999999998</v>
      </c>
      <c r="F171" s="434">
        <v>33.475918</v>
      </c>
      <c r="G171" s="434">
        <v>21</v>
      </c>
    </row>
    <row r="172" spans="1:7" ht="18.600000000000001" thickBot="1" x14ac:dyDescent="0.3">
      <c r="A172" s="433"/>
      <c r="B172" s="437">
        <v>12</v>
      </c>
      <c r="C172" s="437">
        <v>168</v>
      </c>
      <c r="D172" s="434">
        <v>33.219906999999999</v>
      </c>
      <c r="E172" s="434">
        <v>33.115132000000003</v>
      </c>
      <c r="F172" s="434">
        <v>33.393265999999997</v>
      </c>
      <c r="G172" s="434">
        <v>22</v>
      </c>
    </row>
    <row r="173" spans="1:7" ht="18.600000000000001" thickBot="1" x14ac:dyDescent="0.3">
      <c r="A173" s="433">
        <v>2010</v>
      </c>
      <c r="B173" s="437">
        <v>1</v>
      </c>
      <c r="C173" s="437">
        <v>169</v>
      </c>
      <c r="D173" s="434">
        <v>33.036335000000001</v>
      </c>
      <c r="E173" s="434">
        <v>32.849885</v>
      </c>
      <c r="F173" s="434">
        <v>33.205226000000003</v>
      </c>
      <c r="G173" s="434">
        <v>20</v>
      </c>
    </row>
    <row r="174" spans="1:7" ht="18.600000000000001" thickBot="1" x14ac:dyDescent="0.3">
      <c r="A174" s="433"/>
      <c r="B174" s="437">
        <v>2</v>
      </c>
      <c r="C174" s="437">
        <v>170</v>
      </c>
      <c r="D174" s="434">
        <v>33.143802999999998</v>
      </c>
      <c r="E174" s="434">
        <v>33.034897000000001</v>
      </c>
      <c r="F174" s="434">
        <v>33.210138000000001</v>
      </c>
      <c r="G174" s="434">
        <v>20</v>
      </c>
    </row>
    <row r="175" spans="1:7" ht="18.600000000000001" thickBot="1" x14ac:dyDescent="0.3">
      <c r="A175" s="433"/>
      <c r="B175" s="437">
        <v>3</v>
      </c>
      <c r="C175" s="437">
        <v>171</v>
      </c>
      <c r="D175" s="434">
        <v>32.509687999999997</v>
      </c>
      <c r="E175" s="434">
        <v>32.278565</v>
      </c>
      <c r="F175" s="434">
        <v>32.882809999999999</v>
      </c>
      <c r="G175" s="434">
        <v>23</v>
      </c>
    </row>
    <row r="176" spans="1:7" ht="18.600000000000001" thickBot="1" x14ac:dyDescent="0.3">
      <c r="A176" s="433"/>
      <c r="B176" s="437">
        <v>4</v>
      </c>
      <c r="C176" s="437">
        <v>172</v>
      </c>
      <c r="D176" s="434">
        <v>32.284030000000001</v>
      </c>
      <c r="E176" s="434">
        <v>32.162241999999999</v>
      </c>
      <c r="F176" s="434">
        <v>32.389805000000003</v>
      </c>
      <c r="G176" s="434">
        <v>20</v>
      </c>
    </row>
    <row r="177" spans="1:7" ht="18.600000000000001" thickBot="1" x14ac:dyDescent="0.3">
      <c r="A177" s="433"/>
      <c r="B177" s="437">
        <v>5</v>
      </c>
      <c r="C177" s="437">
        <v>173</v>
      </c>
      <c r="D177" s="434">
        <v>32.402926999999998</v>
      </c>
      <c r="E177" s="434">
        <v>32.265261000000002</v>
      </c>
      <c r="F177" s="434">
        <v>32.564667</v>
      </c>
      <c r="G177" s="434">
        <v>21</v>
      </c>
    </row>
    <row r="178" spans="1:7" ht="18.600000000000001" thickBot="1" x14ac:dyDescent="0.3">
      <c r="A178" s="433"/>
      <c r="B178" s="437">
        <v>6</v>
      </c>
      <c r="C178" s="437">
        <v>174</v>
      </c>
      <c r="D178" s="434">
        <v>32.466329999999999</v>
      </c>
      <c r="E178" s="434">
        <v>32.290371999999998</v>
      </c>
      <c r="F178" s="434">
        <v>32.649887</v>
      </c>
      <c r="G178" s="434">
        <v>22</v>
      </c>
    </row>
    <row r="179" spans="1:7" ht="18.600000000000001" thickBot="1" x14ac:dyDescent="0.3">
      <c r="A179" s="433"/>
      <c r="B179" s="437">
        <v>7</v>
      </c>
      <c r="C179" s="437">
        <v>175</v>
      </c>
      <c r="D179" s="434">
        <v>32.320723999999998</v>
      </c>
      <c r="E179" s="434">
        <v>32.199801000000001</v>
      </c>
      <c r="F179" s="434">
        <v>32.480305999999999</v>
      </c>
      <c r="G179" s="434">
        <v>22</v>
      </c>
    </row>
    <row r="180" spans="1:7" ht="18.600000000000001" thickBot="1" x14ac:dyDescent="0.3">
      <c r="A180" s="433"/>
      <c r="B180" s="437">
        <v>8</v>
      </c>
      <c r="C180" s="437">
        <v>176</v>
      </c>
      <c r="D180" s="434">
        <v>31.744313999999999</v>
      </c>
      <c r="E180" s="434">
        <v>31.274802999999999</v>
      </c>
      <c r="F180" s="434">
        <v>32.215252999999997</v>
      </c>
      <c r="G180" s="434">
        <v>22</v>
      </c>
    </row>
    <row r="181" spans="1:7" ht="18.600000000000001" thickBot="1" x14ac:dyDescent="0.3">
      <c r="A181" s="433"/>
      <c r="B181" s="437">
        <v>9</v>
      </c>
      <c r="C181" s="437">
        <v>177</v>
      </c>
      <c r="D181" s="434">
        <v>30.817654999999998</v>
      </c>
      <c r="E181" s="434">
        <v>30.364889000000002</v>
      </c>
      <c r="F181" s="434">
        <v>31.184353999999999</v>
      </c>
      <c r="G181" s="434">
        <v>22</v>
      </c>
    </row>
    <row r="182" spans="1:7" ht="18.600000000000001" thickBot="1" x14ac:dyDescent="0.3">
      <c r="A182" s="433"/>
      <c r="B182" s="437">
        <v>10</v>
      </c>
      <c r="C182" s="437">
        <v>178</v>
      </c>
      <c r="D182" s="434">
        <v>29.959184</v>
      </c>
      <c r="E182" s="434">
        <v>29.79505</v>
      </c>
      <c r="F182" s="434">
        <v>30.207635</v>
      </c>
      <c r="G182" s="434">
        <v>21</v>
      </c>
    </row>
    <row r="183" spans="1:7" ht="18.600000000000001" thickBot="1" x14ac:dyDescent="0.3">
      <c r="A183" s="433"/>
      <c r="B183" s="437">
        <v>11</v>
      </c>
      <c r="C183" s="437">
        <v>179</v>
      </c>
      <c r="D183" s="434">
        <v>29.889006999999999</v>
      </c>
      <c r="E183" s="434">
        <v>29.508067</v>
      </c>
      <c r="F183" s="434">
        <v>30.294896000000001</v>
      </c>
      <c r="G183" s="434">
        <v>22</v>
      </c>
    </row>
    <row r="184" spans="1:7" ht="18.600000000000001" thickBot="1" x14ac:dyDescent="0.3">
      <c r="A184" s="433"/>
      <c r="B184" s="437">
        <v>12</v>
      </c>
      <c r="C184" s="437">
        <v>180</v>
      </c>
      <c r="D184" s="434">
        <v>30.109431000000001</v>
      </c>
      <c r="E184" s="434">
        <v>30</v>
      </c>
      <c r="F184" s="434">
        <v>30.208413</v>
      </c>
      <c r="G184" s="434">
        <v>23</v>
      </c>
    </row>
    <row r="185" spans="1:7" ht="18.600000000000001" thickBot="1" x14ac:dyDescent="0.3">
      <c r="A185" s="433">
        <v>2011</v>
      </c>
      <c r="B185" s="437">
        <v>1</v>
      </c>
      <c r="C185" s="437">
        <v>181</v>
      </c>
      <c r="D185" s="434">
        <v>30.556581999999999</v>
      </c>
      <c r="E185" s="434">
        <v>30.055136999999998</v>
      </c>
      <c r="F185" s="434">
        <v>31.010211999999999</v>
      </c>
      <c r="G185" s="434">
        <v>21</v>
      </c>
    </row>
    <row r="186" spans="1:7" ht="18.600000000000001" thickBot="1" x14ac:dyDescent="0.3">
      <c r="A186" s="433"/>
      <c r="B186" s="437">
        <v>2</v>
      </c>
      <c r="C186" s="437">
        <v>182</v>
      </c>
      <c r="D186" s="434">
        <v>30.711226</v>
      </c>
      <c r="E186" s="434">
        <v>30.529703999999999</v>
      </c>
      <c r="F186" s="434">
        <v>30.910214</v>
      </c>
      <c r="G186" s="434">
        <v>20</v>
      </c>
    </row>
    <row r="187" spans="1:7" ht="18.600000000000001" thickBot="1" x14ac:dyDescent="0.3">
      <c r="A187" s="433"/>
      <c r="B187" s="437">
        <v>3</v>
      </c>
      <c r="C187" s="437">
        <v>183</v>
      </c>
      <c r="D187" s="434">
        <v>30.364742</v>
      </c>
      <c r="E187" s="434">
        <v>30.239954999999998</v>
      </c>
      <c r="F187" s="434">
        <v>30.55978</v>
      </c>
      <c r="G187" s="434">
        <v>23</v>
      </c>
    </row>
    <row r="188" spans="1:7" ht="18.600000000000001" thickBot="1" x14ac:dyDescent="0.3">
      <c r="A188" s="433"/>
      <c r="B188" s="437">
        <v>4</v>
      </c>
      <c r="C188" s="437">
        <v>184</v>
      </c>
      <c r="D188" s="434">
        <v>30.076806000000001</v>
      </c>
      <c r="E188" s="434">
        <v>29.870121000000001</v>
      </c>
      <c r="F188" s="434">
        <v>30.280037</v>
      </c>
      <c r="G188" s="434">
        <v>19</v>
      </c>
    </row>
    <row r="189" spans="1:7" ht="18.600000000000001" thickBot="1" x14ac:dyDescent="0.3">
      <c r="A189" s="433"/>
      <c r="B189" s="437">
        <v>5</v>
      </c>
      <c r="C189" s="437">
        <v>185</v>
      </c>
      <c r="D189" s="434">
        <v>30.247699999999998</v>
      </c>
      <c r="E189" s="434">
        <v>29.85981</v>
      </c>
      <c r="F189" s="434">
        <v>30.449925</v>
      </c>
      <c r="G189" s="434">
        <v>22</v>
      </c>
    </row>
    <row r="190" spans="1:7" ht="18.600000000000001" thickBot="1" x14ac:dyDescent="0.3">
      <c r="A190" s="433"/>
      <c r="B190" s="437">
        <v>6</v>
      </c>
      <c r="C190" s="437">
        <v>186</v>
      </c>
      <c r="D190" s="434">
        <v>30.528040000000001</v>
      </c>
      <c r="E190" s="434">
        <v>30.269988999999999</v>
      </c>
      <c r="F190" s="434">
        <v>30.959961</v>
      </c>
      <c r="G190" s="434">
        <v>22</v>
      </c>
    </row>
    <row r="191" spans="1:7" ht="18.600000000000001" thickBot="1" x14ac:dyDescent="0.3">
      <c r="A191" s="433"/>
      <c r="B191" s="437">
        <v>7</v>
      </c>
      <c r="C191" s="437">
        <v>187</v>
      </c>
      <c r="D191" s="434">
        <v>30.109418000000002</v>
      </c>
      <c r="E191" s="434">
        <v>29.709764</v>
      </c>
      <c r="F191" s="434">
        <v>30.810326</v>
      </c>
      <c r="G191" s="434">
        <v>21</v>
      </c>
    </row>
    <row r="192" spans="1:7" ht="18.600000000000001" thickBot="1" x14ac:dyDescent="0.3">
      <c r="A192" s="433"/>
      <c r="B192" s="437">
        <v>8</v>
      </c>
      <c r="C192" s="437">
        <v>188</v>
      </c>
      <c r="D192" s="434">
        <v>29.892052</v>
      </c>
      <c r="E192" s="434">
        <v>29.710024000000001</v>
      </c>
      <c r="F192" s="434">
        <v>30.029857</v>
      </c>
      <c r="G192" s="434">
        <v>23</v>
      </c>
    </row>
    <row r="193" spans="1:7" ht="18.600000000000001" thickBot="1" x14ac:dyDescent="0.3">
      <c r="A193" s="433"/>
      <c r="B193" s="437">
        <v>9</v>
      </c>
      <c r="C193" s="437">
        <v>189</v>
      </c>
      <c r="D193" s="434">
        <v>30.436426000000001</v>
      </c>
      <c r="E193" s="434">
        <v>29.914888000000001</v>
      </c>
      <c r="F193" s="434">
        <v>31.180316000000001</v>
      </c>
      <c r="G193" s="434">
        <v>22</v>
      </c>
    </row>
    <row r="194" spans="1:7" ht="18.600000000000001" thickBot="1" x14ac:dyDescent="0.3">
      <c r="A194" s="433"/>
      <c r="B194" s="437">
        <v>10</v>
      </c>
      <c r="C194" s="437">
        <v>190</v>
      </c>
      <c r="D194" s="434">
        <v>30.862828</v>
      </c>
      <c r="E194" s="434">
        <v>30.539963</v>
      </c>
      <c r="F194" s="434">
        <v>31.210325000000001</v>
      </c>
      <c r="G194" s="434">
        <v>21</v>
      </c>
    </row>
    <row r="195" spans="1:7" ht="18.600000000000001" thickBot="1" x14ac:dyDescent="0.3">
      <c r="A195" s="433"/>
      <c r="B195" s="437">
        <v>11</v>
      </c>
      <c r="C195" s="437">
        <v>191</v>
      </c>
      <c r="D195" s="434">
        <v>30.962714999999999</v>
      </c>
      <c r="E195" s="434">
        <v>30.659987000000001</v>
      </c>
      <c r="F195" s="434">
        <v>31.409782</v>
      </c>
      <c r="G195" s="434">
        <v>22</v>
      </c>
    </row>
    <row r="196" spans="1:7" ht="18.600000000000001" thickBot="1" x14ac:dyDescent="0.3">
      <c r="A196" s="433"/>
      <c r="B196" s="437">
        <v>12</v>
      </c>
      <c r="C196" s="437">
        <v>192</v>
      </c>
      <c r="D196" s="434">
        <v>31.188842999999999</v>
      </c>
      <c r="E196" s="434">
        <v>30.750185999999999</v>
      </c>
      <c r="F196" s="434">
        <v>31.779812</v>
      </c>
      <c r="G196" s="434">
        <v>21</v>
      </c>
    </row>
    <row r="197" spans="1:7" ht="18.600000000000001" thickBot="1" x14ac:dyDescent="0.3">
      <c r="A197" s="433">
        <v>2012</v>
      </c>
      <c r="B197" s="437">
        <v>1</v>
      </c>
      <c r="C197" s="437">
        <v>193</v>
      </c>
      <c r="D197" s="434">
        <v>31.554836999999999</v>
      </c>
      <c r="E197" s="434">
        <v>30.929721000000001</v>
      </c>
      <c r="F197" s="434">
        <v>31.889652000000002</v>
      </c>
      <c r="G197" s="434">
        <v>22</v>
      </c>
    </row>
    <row r="198" spans="1:7" ht="18.600000000000001" thickBot="1" x14ac:dyDescent="0.3">
      <c r="A198" s="433"/>
      <c r="B198" s="437">
        <v>2</v>
      </c>
      <c r="C198" s="437">
        <v>194</v>
      </c>
      <c r="D198" s="434">
        <v>30.714302</v>
      </c>
      <c r="E198" s="434">
        <v>30.249943999999999</v>
      </c>
      <c r="F198" s="434">
        <v>30.979911000000001</v>
      </c>
      <c r="G198" s="434">
        <v>21</v>
      </c>
    </row>
    <row r="199" spans="1:7" ht="18.600000000000001" thickBot="1" x14ac:dyDescent="0.3">
      <c r="A199" s="433"/>
      <c r="B199" s="437">
        <v>3</v>
      </c>
      <c r="C199" s="437">
        <v>195</v>
      </c>
      <c r="D199" s="434">
        <v>30.722774000000001</v>
      </c>
      <c r="E199" s="434">
        <v>30.539949</v>
      </c>
      <c r="F199" s="434">
        <v>30.870253000000002</v>
      </c>
      <c r="G199" s="434">
        <v>22</v>
      </c>
    </row>
    <row r="200" spans="1:7" ht="18.600000000000001" thickBot="1" x14ac:dyDescent="0.3">
      <c r="A200" s="433"/>
      <c r="B200" s="437">
        <v>4</v>
      </c>
      <c r="C200" s="437">
        <v>196</v>
      </c>
      <c r="D200" s="434">
        <v>30.876436000000002</v>
      </c>
      <c r="E200" s="434">
        <v>30.730149000000001</v>
      </c>
      <c r="F200" s="434">
        <v>31.030284999999999</v>
      </c>
      <c r="G200" s="434">
        <v>19</v>
      </c>
    </row>
    <row r="201" spans="1:7" ht="18.600000000000001" thickBot="1" x14ac:dyDescent="0.3">
      <c r="A201" s="433"/>
      <c r="B201" s="437">
        <v>5</v>
      </c>
      <c r="C201" s="437">
        <v>197</v>
      </c>
      <c r="D201" s="434">
        <v>31.342662000000001</v>
      </c>
      <c r="E201" s="434">
        <v>30.869698</v>
      </c>
      <c r="F201" s="434">
        <v>31.860033999999999</v>
      </c>
      <c r="G201" s="434">
        <v>22</v>
      </c>
    </row>
    <row r="202" spans="1:7" ht="18.600000000000001" thickBot="1" x14ac:dyDescent="0.3">
      <c r="A202" s="433"/>
      <c r="B202" s="437">
        <v>6</v>
      </c>
      <c r="C202" s="437">
        <v>198</v>
      </c>
      <c r="D202" s="434">
        <v>31.646263999999999</v>
      </c>
      <c r="E202" s="434">
        <v>31.370156000000001</v>
      </c>
      <c r="F202" s="434">
        <v>31.899854000000001</v>
      </c>
      <c r="G202" s="434">
        <v>21</v>
      </c>
    </row>
    <row r="203" spans="1:7" ht="18.600000000000001" thickBot="1" x14ac:dyDescent="0.3">
      <c r="A203" s="433"/>
      <c r="B203" s="437">
        <v>7</v>
      </c>
      <c r="C203" s="437">
        <v>199</v>
      </c>
      <c r="D203" s="434">
        <v>31.634312999999999</v>
      </c>
      <c r="E203" s="434">
        <v>31.460039999999999</v>
      </c>
      <c r="F203" s="434">
        <v>31.819675</v>
      </c>
      <c r="G203" s="434">
        <v>22</v>
      </c>
    </row>
    <row r="204" spans="1:7" ht="18.600000000000001" thickBot="1" x14ac:dyDescent="0.3">
      <c r="A204" s="433"/>
      <c r="B204" s="437">
        <v>8</v>
      </c>
      <c r="C204" s="437">
        <v>200</v>
      </c>
      <c r="D204" s="434">
        <v>31.431294999999999</v>
      </c>
      <c r="E204" s="434">
        <v>31.219726000000001</v>
      </c>
      <c r="F204" s="434">
        <v>31.56962</v>
      </c>
      <c r="G204" s="434">
        <v>23</v>
      </c>
    </row>
    <row r="205" spans="1:7" ht="18.600000000000001" thickBot="1" x14ac:dyDescent="0.3">
      <c r="A205" s="433"/>
      <c r="B205" s="437">
        <v>9</v>
      </c>
      <c r="C205" s="437">
        <v>201</v>
      </c>
      <c r="D205" s="434">
        <v>30.993839999999999</v>
      </c>
      <c r="E205" s="434">
        <v>30.759831999999999</v>
      </c>
      <c r="F205" s="434">
        <v>31.269677000000001</v>
      </c>
      <c r="G205" s="434">
        <v>20</v>
      </c>
    </row>
    <row r="206" spans="1:7" ht="18.600000000000001" thickBot="1" x14ac:dyDescent="0.3">
      <c r="A206" s="433"/>
      <c r="B206" s="437">
        <v>10</v>
      </c>
      <c r="C206" s="437">
        <v>202</v>
      </c>
      <c r="D206" s="434">
        <v>30.684518000000001</v>
      </c>
      <c r="E206" s="434">
        <v>30.549914999999999</v>
      </c>
      <c r="F206" s="434">
        <v>30.78978</v>
      </c>
      <c r="G206" s="434">
        <v>23</v>
      </c>
    </row>
    <row r="207" spans="1:7" ht="18.600000000000001" thickBot="1" x14ac:dyDescent="0.3">
      <c r="A207" s="433"/>
      <c r="B207" s="437">
        <v>11</v>
      </c>
      <c r="C207" s="437">
        <v>203</v>
      </c>
      <c r="D207" s="434">
        <v>30.707765999999999</v>
      </c>
      <c r="E207" s="434">
        <v>30.639969000000001</v>
      </c>
      <c r="F207" s="434">
        <v>30.820224</v>
      </c>
      <c r="G207" s="434">
        <v>22</v>
      </c>
    </row>
    <row r="208" spans="1:7" ht="18.600000000000001" thickBot="1" x14ac:dyDescent="0.3">
      <c r="A208" s="433"/>
      <c r="B208" s="437">
        <v>12</v>
      </c>
      <c r="C208" s="437">
        <v>204</v>
      </c>
      <c r="D208" s="434">
        <v>30.632027000000001</v>
      </c>
      <c r="E208" s="434">
        <v>30.569889</v>
      </c>
      <c r="F208" s="434">
        <v>30.689734000000001</v>
      </c>
      <c r="G208" s="434">
        <v>19</v>
      </c>
    </row>
    <row r="209" spans="1:7" ht="18.600000000000001" thickBot="1" x14ac:dyDescent="0.3">
      <c r="A209" s="433">
        <v>2013</v>
      </c>
      <c r="B209" s="437">
        <v>1</v>
      </c>
      <c r="C209" s="437">
        <v>205</v>
      </c>
      <c r="D209" s="434">
        <v>30.047955000000002</v>
      </c>
      <c r="E209" s="434">
        <v>29.740182000000001</v>
      </c>
      <c r="F209" s="434">
        <v>30.510297999999999</v>
      </c>
      <c r="G209" s="434">
        <v>22</v>
      </c>
    </row>
    <row r="210" spans="1:7" ht="18.600000000000001" thickBot="1" x14ac:dyDescent="0.3">
      <c r="A210" s="433"/>
      <c r="B210" s="437">
        <v>2</v>
      </c>
      <c r="C210" s="437">
        <v>206</v>
      </c>
      <c r="D210" s="434">
        <v>29.821936999999998</v>
      </c>
      <c r="E210" s="434">
        <v>29.750313999999999</v>
      </c>
      <c r="F210" s="434">
        <v>29.889904000000001</v>
      </c>
      <c r="G210" s="434">
        <v>20</v>
      </c>
    </row>
    <row r="211" spans="1:7" ht="18.600000000000001" thickBot="1" x14ac:dyDescent="0.3">
      <c r="A211" s="433"/>
      <c r="B211" s="437">
        <v>3</v>
      </c>
      <c r="C211" s="437">
        <v>207</v>
      </c>
      <c r="D211" s="434">
        <v>29.515601</v>
      </c>
      <c r="E211" s="434">
        <v>29.120124000000001</v>
      </c>
      <c r="F211" s="434">
        <v>29.830090999999999</v>
      </c>
      <c r="G211" s="434">
        <v>20</v>
      </c>
    </row>
    <row r="212" spans="1:7" ht="18.600000000000001" thickBot="1" x14ac:dyDescent="0.3">
      <c r="A212" s="433"/>
      <c r="B212" s="437">
        <v>4</v>
      </c>
      <c r="C212" s="437">
        <v>208</v>
      </c>
      <c r="D212" s="434">
        <v>29.063309</v>
      </c>
      <c r="E212" s="434">
        <v>28.600076000000001</v>
      </c>
      <c r="F212" s="434">
        <v>29.370128000000001</v>
      </c>
      <c r="G212" s="434">
        <v>21</v>
      </c>
    </row>
    <row r="213" spans="1:7" ht="18.600000000000001" thickBot="1" x14ac:dyDescent="0.3">
      <c r="A213" s="433"/>
      <c r="B213" s="437">
        <v>5</v>
      </c>
      <c r="C213" s="437">
        <v>209</v>
      </c>
      <c r="D213" s="434">
        <v>29.786123</v>
      </c>
      <c r="E213" s="434">
        <v>29.349829</v>
      </c>
      <c r="F213" s="434">
        <v>30.355221</v>
      </c>
      <c r="G213" s="434">
        <v>22</v>
      </c>
    </row>
    <row r="214" spans="1:7" ht="18.600000000000001" thickBot="1" x14ac:dyDescent="0.3">
      <c r="A214" s="433"/>
      <c r="B214" s="437">
        <v>6</v>
      </c>
      <c r="C214" s="437">
        <v>210</v>
      </c>
      <c r="D214" s="434">
        <v>30.832274000000002</v>
      </c>
      <c r="E214" s="434">
        <v>30.410174000000001</v>
      </c>
      <c r="F214" s="434">
        <v>31.180129000000001</v>
      </c>
      <c r="G214" s="434">
        <v>20</v>
      </c>
    </row>
    <row r="215" spans="1:7" ht="18.600000000000001" thickBot="1" x14ac:dyDescent="0.3">
      <c r="A215" s="433"/>
      <c r="B215" s="437">
        <v>7</v>
      </c>
      <c r="C215" s="437">
        <v>211</v>
      </c>
      <c r="D215" s="434">
        <v>31.126861999999999</v>
      </c>
      <c r="E215" s="434">
        <v>30.939906000000001</v>
      </c>
      <c r="F215" s="434">
        <v>31.449805000000001</v>
      </c>
      <c r="G215" s="434">
        <v>23</v>
      </c>
    </row>
    <row r="216" spans="1:7" ht="18.600000000000001" thickBot="1" x14ac:dyDescent="0.3">
      <c r="A216" s="433"/>
      <c r="B216" s="437">
        <v>8</v>
      </c>
      <c r="C216" s="437">
        <v>212</v>
      </c>
      <c r="D216" s="434">
        <v>31.610194</v>
      </c>
      <c r="E216" s="434">
        <v>31.240210999999999</v>
      </c>
      <c r="F216" s="434">
        <v>32.300142000000001</v>
      </c>
      <c r="G216" s="434">
        <v>22</v>
      </c>
    </row>
    <row r="217" spans="1:7" ht="18.600000000000001" thickBot="1" x14ac:dyDescent="0.3">
      <c r="A217" s="433"/>
      <c r="B217" s="437">
        <v>9</v>
      </c>
      <c r="C217" s="437">
        <v>213</v>
      </c>
      <c r="D217" s="434">
        <v>31.704039000000002</v>
      </c>
      <c r="E217" s="434">
        <v>30.959764</v>
      </c>
      <c r="F217" s="434">
        <v>32.354959000000001</v>
      </c>
      <c r="G217" s="434">
        <v>21</v>
      </c>
    </row>
    <row r="218" spans="1:7" ht="18.600000000000001" thickBot="1" x14ac:dyDescent="0.3">
      <c r="A218" s="433"/>
      <c r="B218" s="437">
        <v>10</v>
      </c>
      <c r="C218" s="437">
        <v>214</v>
      </c>
      <c r="D218" s="434">
        <v>31.206377</v>
      </c>
      <c r="E218" s="434">
        <v>31.020347999999998</v>
      </c>
      <c r="F218" s="434">
        <v>31.437662</v>
      </c>
      <c r="G218" s="434">
        <v>23</v>
      </c>
    </row>
    <row r="219" spans="1:7" ht="18.600000000000001" thickBot="1" x14ac:dyDescent="0.3">
      <c r="A219" s="433"/>
      <c r="B219" s="437">
        <v>11</v>
      </c>
      <c r="C219" s="437">
        <v>215</v>
      </c>
      <c r="D219" s="434">
        <v>31.642019000000001</v>
      </c>
      <c r="E219" s="434">
        <v>31.198815</v>
      </c>
      <c r="F219" s="434">
        <v>32.123308000000002</v>
      </c>
      <c r="G219" s="434">
        <v>21</v>
      </c>
    </row>
    <row r="220" spans="1:7" ht="18.600000000000001" thickBot="1" x14ac:dyDescent="0.3">
      <c r="A220" s="433"/>
      <c r="B220" s="437">
        <v>12</v>
      </c>
      <c r="C220" s="437">
        <v>216</v>
      </c>
      <c r="D220" s="434">
        <v>32.343634999999999</v>
      </c>
      <c r="E220" s="434">
        <v>32.030343000000002</v>
      </c>
      <c r="F220" s="434">
        <v>32.875343999999998</v>
      </c>
      <c r="G220" s="434">
        <v>20</v>
      </c>
    </row>
    <row r="221" spans="1:7" ht="18.600000000000001" thickBot="1" x14ac:dyDescent="0.3">
      <c r="A221" s="433">
        <v>2014</v>
      </c>
      <c r="B221" s="437">
        <v>1</v>
      </c>
      <c r="C221" s="437">
        <v>217</v>
      </c>
      <c r="D221" s="434">
        <v>32.932592999999997</v>
      </c>
      <c r="E221" s="434">
        <v>32.723348000000001</v>
      </c>
      <c r="F221" s="434">
        <v>33.087017000000003</v>
      </c>
      <c r="G221" s="434">
        <v>22</v>
      </c>
    </row>
    <row r="222" spans="1:7" ht="18.600000000000001" thickBot="1" x14ac:dyDescent="0.3">
      <c r="A222" s="433"/>
      <c r="B222" s="437">
        <v>2</v>
      </c>
      <c r="C222" s="437">
        <v>218</v>
      </c>
      <c r="D222" s="434">
        <v>32.630768000000003</v>
      </c>
      <c r="E222" s="434">
        <v>32.236660000000001</v>
      </c>
      <c r="F222" s="434">
        <v>33.194547</v>
      </c>
      <c r="G222" s="434">
        <v>20</v>
      </c>
    </row>
    <row r="223" spans="1:7" ht="18.600000000000001" thickBot="1" x14ac:dyDescent="0.3">
      <c r="A223" s="433"/>
      <c r="B223" s="437">
        <v>3</v>
      </c>
      <c r="C223" s="437">
        <v>219</v>
      </c>
      <c r="D223" s="434">
        <v>32.385730000000002</v>
      </c>
      <c r="E223" s="434">
        <v>32.132787</v>
      </c>
      <c r="F223" s="434">
        <v>32.590094999999998</v>
      </c>
      <c r="G223" s="434">
        <v>21</v>
      </c>
    </row>
    <row r="224" spans="1:7" ht="18.600000000000001" thickBot="1" x14ac:dyDescent="0.3">
      <c r="A224" s="433"/>
      <c r="B224" s="437">
        <v>4</v>
      </c>
      <c r="C224" s="437">
        <v>220</v>
      </c>
      <c r="D224" s="434">
        <v>32.330879000000003</v>
      </c>
      <c r="E224" s="434">
        <v>32.184049000000002</v>
      </c>
      <c r="F224" s="434">
        <v>32.553285000000002</v>
      </c>
      <c r="G224" s="434">
        <v>20</v>
      </c>
    </row>
    <row r="225" spans="1:7" ht="18.600000000000001" thickBot="1" x14ac:dyDescent="0.3">
      <c r="A225" s="433"/>
      <c r="B225" s="437">
        <v>5</v>
      </c>
      <c r="C225" s="437">
        <v>221</v>
      </c>
      <c r="D225" s="434">
        <v>32.542214999999999</v>
      </c>
      <c r="E225" s="434">
        <v>32.337038</v>
      </c>
      <c r="F225" s="434">
        <v>32.847064000000003</v>
      </c>
      <c r="G225" s="434">
        <v>21</v>
      </c>
    </row>
    <row r="226" spans="1:7" ht="18.600000000000001" thickBot="1" x14ac:dyDescent="0.3">
      <c r="A226" s="433"/>
      <c r="B226" s="437">
        <v>6</v>
      </c>
      <c r="C226" s="437">
        <v>222</v>
      </c>
      <c r="D226" s="434">
        <v>32.514077999999998</v>
      </c>
      <c r="E226" s="434">
        <v>32.353679999999997</v>
      </c>
      <c r="F226" s="434">
        <v>32.869737999999998</v>
      </c>
      <c r="G226" s="434">
        <v>21</v>
      </c>
    </row>
    <row r="227" spans="1:7" ht="18.600000000000001" thickBot="1" x14ac:dyDescent="0.3">
      <c r="A227" s="433"/>
      <c r="B227" s="437">
        <v>7</v>
      </c>
      <c r="C227" s="437">
        <v>223</v>
      </c>
      <c r="D227" s="434">
        <v>32.105960000000003</v>
      </c>
      <c r="E227" s="434">
        <v>31.795767000000001</v>
      </c>
      <c r="F227" s="434">
        <v>32.413063000000001</v>
      </c>
      <c r="G227" s="434">
        <v>23</v>
      </c>
    </row>
    <row r="228" spans="1:7" ht="18.600000000000001" thickBot="1" x14ac:dyDescent="0.3">
      <c r="A228" s="433"/>
      <c r="B228" s="437">
        <v>8</v>
      </c>
      <c r="C228" s="437">
        <v>224</v>
      </c>
      <c r="D228" s="434">
        <v>32.024104000000001</v>
      </c>
      <c r="E228" s="434">
        <v>31.832174999999999</v>
      </c>
      <c r="F228" s="434">
        <v>32.270347000000001</v>
      </c>
      <c r="G228" s="434">
        <v>21</v>
      </c>
    </row>
    <row r="229" spans="1:7" ht="18.600000000000001" thickBot="1" x14ac:dyDescent="0.3">
      <c r="A229" s="433"/>
      <c r="B229" s="437">
        <v>9</v>
      </c>
      <c r="C229" s="437">
        <v>225</v>
      </c>
      <c r="D229" s="434">
        <v>32.196199</v>
      </c>
      <c r="E229" s="434">
        <v>31.975176999999999</v>
      </c>
      <c r="F229" s="434">
        <v>32.424700000000001</v>
      </c>
      <c r="G229" s="434">
        <v>22</v>
      </c>
    </row>
    <row r="230" spans="1:7" ht="18.600000000000001" thickBot="1" x14ac:dyDescent="0.3">
      <c r="A230" s="433"/>
      <c r="B230" s="437">
        <v>10</v>
      </c>
      <c r="C230" s="437">
        <v>226</v>
      </c>
      <c r="D230" s="434">
        <v>32.462761999999998</v>
      </c>
      <c r="E230" s="434">
        <v>32.280206999999997</v>
      </c>
      <c r="F230" s="434">
        <v>32.623939</v>
      </c>
      <c r="G230" s="434">
        <v>23</v>
      </c>
    </row>
    <row r="231" spans="1:7" ht="18.600000000000001" thickBot="1" x14ac:dyDescent="0.3">
      <c r="A231" s="433"/>
      <c r="B231" s="437">
        <v>11</v>
      </c>
      <c r="C231" s="437">
        <v>227</v>
      </c>
      <c r="D231" s="434">
        <v>32.799419</v>
      </c>
      <c r="E231" s="434">
        <v>32.669809999999998</v>
      </c>
      <c r="F231" s="434">
        <v>32.878300000000003</v>
      </c>
      <c r="G231" s="434">
        <v>20</v>
      </c>
    </row>
    <row r="232" spans="1:7" ht="18.600000000000001" thickBot="1" x14ac:dyDescent="0.3">
      <c r="A232" s="433"/>
      <c r="B232" s="437">
        <v>12</v>
      </c>
      <c r="C232" s="437">
        <v>228</v>
      </c>
      <c r="D232" s="434">
        <v>32.895040000000002</v>
      </c>
      <c r="E232" s="434">
        <v>32.790360999999997</v>
      </c>
      <c r="F232" s="434">
        <v>33.051884000000001</v>
      </c>
      <c r="G232" s="434">
        <v>21</v>
      </c>
    </row>
    <row r="233" spans="1:7" ht="18.600000000000001" thickBot="1" x14ac:dyDescent="0.3">
      <c r="A233" s="433">
        <v>2015</v>
      </c>
      <c r="B233" s="437">
        <v>1</v>
      </c>
      <c r="C233" s="437">
        <v>229</v>
      </c>
      <c r="D233" s="434">
        <v>32.744084000000001</v>
      </c>
      <c r="E233" s="434">
        <v>32.550246999999999</v>
      </c>
      <c r="F233" s="434">
        <v>32.981116</v>
      </c>
      <c r="G233" s="434">
        <v>21</v>
      </c>
    </row>
    <row r="234" spans="1:7" ht="18.600000000000001" thickBot="1" x14ac:dyDescent="0.3">
      <c r="A234" s="433"/>
      <c r="B234" s="437">
        <v>2</v>
      </c>
      <c r="C234" s="437">
        <v>230</v>
      </c>
      <c r="D234" s="434">
        <v>32.567219999999999</v>
      </c>
      <c r="E234" s="434">
        <v>32.314217999999997</v>
      </c>
      <c r="F234" s="434">
        <v>32.695092000000002</v>
      </c>
      <c r="G234" s="434">
        <v>20</v>
      </c>
    </row>
    <row r="235" spans="1:7" ht="18.600000000000001" thickBot="1" x14ac:dyDescent="0.3">
      <c r="A235" s="433"/>
      <c r="B235" s="437">
        <v>3</v>
      </c>
      <c r="C235" s="437">
        <v>231</v>
      </c>
      <c r="D235" s="434">
        <v>32.625487</v>
      </c>
      <c r="E235" s="434">
        <v>32.330097000000002</v>
      </c>
      <c r="F235" s="434">
        <v>32.928862000000002</v>
      </c>
      <c r="G235" s="434">
        <v>22</v>
      </c>
    </row>
    <row r="236" spans="1:7" ht="18.600000000000001" thickBot="1" x14ac:dyDescent="0.3">
      <c r="A236" s="433"/>
      <c r="B236" s="437">
        <v>4</v>
      </c>
      <c r="C236" s="437">
        <v>232</v>
      </c>
      <c r="D236" s="434">
        <v>32.535328</v>
      </c>
      <c r="E236" s="434">
        <v>32.358054000000003</v>
      </c>
      <c r="F236" s="434">
        <v>32.970129</v>
      </c>
      <c r="G236" s="434">
        <v>20</v>
      </c>
    </row>
    <row r="237" spans="1:7" ht="18.600000000000001" thickBot="1" x14ac:dyDescent="0.3">
      <c r="A237" s="433"/>
      <c r="B237" s="437">
        <v>5</v>
      </c>
      <c r="C237" s="437">
        <v>233</v>
      </c>
      <c r="D237" s="434">
        <v>33.552596999999999</v>
      </c>
      <c r="E237" s="434">
        <v>33.279608000000003</v>
      </c>
      <c r="F237" s="434">
        <v>33.873899000000002</v>
      </c>
      <c r="G237" s="434">
        <v>20</v>
      </c>
    </row>
    <row r="238" spans="1:7" ht="18.600000000000001" thickBot="1" x14ac:dyDescent="0.3">
      <c r="A238" s="433"/>
      <c r="B238" s="437">
        <v>6</v>
      </c>
      <c r="C238" s="437">
        <v>234</v>
      </c>
      <c r="D238" s="434">
        <v>33.726154999999999</v>
      </c>
      <c r="E238" s="434">
        <v>33.626798000000001</v>
      </c>
      <c r="F238" s="434">
        <v>33.804904000000001</v>
      </c>
      <c r="G238" s="434">
        <v>22</v>
      </c>
    </row>
    <row r="239" spans="1:7" ht="18.600000000000001" thickBot="1" x14ac:dyDescent="0.3">
      <c r="A239" s="433"/>
      <c r="B239" s="437">
        <v>7</v>
      </c>
      <c r="C239" s="437">
        <v>235</v>
      </c>
      <c r="D239" s="434">
        <v>34.341951999999999</v>
      </c>
      <c r="E239" s="434">
        <v>33.779739999999997</v>
      </c>
      <c r="F239" s="434">
        <v>35.170056000000002</v>
      </c>
      <c r="G239" s="434">
        <v>23</v>
      </c>
    </row>
    <row r="240" spans="1:7" ht="18.600000000000001" thickBot="1" x14ac:dyDescent="0.3">
      <c r="A240" s="433"/>
      <c r="B240" s="437">
        <v>8</v>
      </c>
      <c r="C240" s="437">
        <v>236</v>
      </c>
      <c r="D240" s="434">
        <v>35.426692000000003</v>
      </c>
      <c r="E240" s="434">
        <v>35.038730999999999</v>
      </c>
      <c r="F240" s="434">
        <v>35.888356000000002</v>
      </c>
      <c r="G240" s="434">
        <v>21</v>
      </c>
    </row>
    <row r="241" spans="1:7" ht="18.600000000000001" thickBot="1" x14ac:dyDescent="0.3">
      <c r="A241" s="433"/>
      <c r="B241" s="437">
        <v>9</v>
      </c>
      <c r="C241" s="437">
        <v>237</v>
      </c>
      <c r="D241" s="434">
        <v>36.027450000000002</v>
      </c>
      <c r="E241" s="434">
        <v>35.551273999999999</v>
      </c>
      <c r="F241" s="434">
        <v>36.444127000000002</v>
      </c>
      <c r="G241" s="434">
        <v>22</v>
      </c>
    </row>
    <row r="242" spans="1:7" ht="18.600000000000001" thickBot="1" x14ac:dyDescent="0.3">
      <c r="A242" s="433"/>
      <c r="B242" s="437">
        <v>10</v>
      </c>
      <c r="C242" s="437">
        <v>238</v>
      </c>
      <c r="D242" s="434">
        <v>35.685982000000003</v>
      </c>
      <c r="E242" s="434">
        <v>35.157794000000003</v>
      </c>
      <c r="F242" s="434">
        <v>36.600358</v>
      </c>
      <c r="G242" s="434">
        <v>22</v>
      </c>
    </row>
    <row r="243" spans="1:7" ht="18.600000000000001" thickBot="1" x14ac:dyDescent="0.3">
      <c r="A243" s="433"/>
      <c r="B243" s="437">
        <v>11</v>
      </c>
      <c r="C243" s="437">
        <v>239</v>
      </c>
      <c r="D243" s="434">
        <v>35.798155999999999</v>
      </c>
      <c r="E243" s="434">
        <v>35.460448</v>
      </c>
      <c r="F243" s="434">
        <v>35.994750000000003</v>
      </c>
      <c r="G243" s="434">
        <v>21</v>
      </c>
    </row>
    <row r="244" spans="1:7" ht="18.600000000000001" thickBot="1" x14ac:dyDescent="0.3">
      <c r="A244" s="433"/>
      <c r="B244" s="437">
        <v>12</v>
      </c>
      <c r="C244" s="437">
        <v>240</v>
      </c>
      <c r="D244" s="434">
        <v>36.002918000000001</v>
      </c>
      <c r="E244" s="434">
        <v>35.804716999999997</v>
      </c>
      <c r="F244" s="434">
        <v>36.152639000000001</v>
      </c>
      <c r="G244" s="434">
        <v>22</v>
      </c>
    </row>
    <row r="245" spans="1:7" ht="18.600000000000001" thickBot="1" x14ac:dyDescent="0.3">
      <c r="A245" s="433">
        <v>2016</v>
      </c>
      <c r="B245" s="437">
        <v>1</v>
      </c>
      <c r="C245" s="437">
        <v>241</v>
      </c>
      <c r="D245" s="434">
        <v>36.141840000000002</v>
      </c>
      <c r="E245" s="434">
        <v>35.68956</v>
      </c>
      <c r="F245" s="434">
        <v>36.379879000000003</v>
      </c>
      <c r="G245" s="434">
        <v>20</v>
      </c>
    </row>
    <row r="246" spans="1:7" ht="18.600000000000001" thickBot="1" x14ac:dyDescent="0.3">
      <c r="A246" s="433"/>
      <c r="B246" s="437">
        <v>2</v>
      </c>
      <c r="C246" s="437">
        <v>242</v>
      </c>
      <c r="D246" s="434">
        <v>35.615903000000003</v>
      </c>
      <c r="E246" s="434">
        <v>35.247202000000001</v>
      </c>
      <c r="F246" s="434">
        <v>35.853836999999999</v>
      </c>
      <c r="G246" s="434">
        <v>21</v>
      </c>
    </row>
    <row r="247" spans="1:7" ht="18.600000000000001" thickBot="1" x14ac:dyDescent="0.3">
      <c r="A247" s="433"/>
      <c r="B247" s="437">
        <v>3</v>
      </c>
      <c r="C247" s="437">
        <v>243</v>
      </c>
      <c r="D247" s="434">
        <v>35.218325</v>
      </c>
      <c r="E247" s="434">
        <v>34.790027000000002</v>
      </c>
      <c r="F247" s="434">
        <v>35.604304999999997</v>
      </c>
      <c r="G247" s="434">
        <v>21</v>
      </c>
    </row>
    <row r="248" spans="1:7" ht="18.600000000000001" thickBot="1" x14ac:dyDescent="0.3">
      <c r="A248" s="433"/>
      <c r="B248" s="437">
        <v>4</v>
      </c>
      <c r="C248" s="437">
        <v>244</v>
      </c>
      <c r="D248" s="434">
        <v>35.081740000000003</v>
      </c>
      <c r="E248" s="434">
        <v>34.850163000000002</v>
      </c>
      <c r="F248" s="434">
        <v>35.294637000000002</v>
      </c>
      <c r="G248" s="434">
        <v>21</v>
      </c>
    </row>
    <row r="249" spans="1:7" ht="18.600000000000001" thickBot="1" x14ac:dyDescent="0.3">
      <c r="A249" s="433"/>
      <c r="B249" s="437">
        <v>5</v>
      </c>
      <c r="C249" s="437">
        <v>245</v>
      </c>
      <c r="D249" s="434">
        <v>35.422834000000002</v>
      </c>
      <c r="E249" s="434">
        <v>34.869920999999998</v>
      </c>
      <c r="F249" s="434">
        <v>35.739612999999999</v>
      </c>
      <c r="G249" s="434">
        <v>22</v>
      </c>
    </row>
    <row r="250" spans="1:7" ht="18.600000000000001" thickBot="1" x14ac:dyDescent="0.3">
      <c r="A250" s="433"/>
      <c r="B250" s="437">
        <v>6</v>
      </c>
      <c r="C250" s="437">
        <v>246</v>
      </c>
      <c r="D250" s="434">
        <v>35.287754</v>
      </c>
      <c r="E250" s="434">
        <v>35.135111000000002</v>
      </c>
      <c r="F250" s="434">
        <v>35.659567000000003</v>
      </c>
      <c r="G250" s="434">
        <v>22</v>
      </c>
    </row>
    <row r="251" spans="1:7" ht="18.600000000000001" thickBot="1" x14ac:dyDescent="0.3">
      <c r="A251" s="433"/>
      <c r="B251" s="437">
        <v>7</v>
      </c>
      <c r="C251" s="437">
        <v>247</v>
      </c>
      <c r="D251" s="434">
        <v>35.048833999999999</v>
      </c>
      <c r="E251" s="434">
        <v>34.834878000000003</v>
      </c>
      <c r="F251" s="434">
        <v>35.265582999999999</v>
      </c>
      <c r="G251" s="434">
        <v>21</v>
      </c>
    </row>
    <row r="252" spans="1:7" ht="18.600000000000001" thickBot="1" x14ac:dyDescent="0.3">
      <c r="A252" s="433"/>
      <c r="B252" s="437">
        <v>8</v>
      </c>
      <c r="C252" s="437">
        <v>248</v>
      </c>
      <c r="D252" s="434">
        <v>34.710296</v>
      </c>
      <c r="E252" s="434">
        <v>34.547387000000001</v>
      </c>
      <c r="F252" s="434">
        <v>34.989626999999999</v>
      </c>
      <c r="G252" s="434">
        <v>23</v>
      </c>
    </row>
    <row r="253" spans="1:7" ht="18.600000000000001" thickBot="1" x14ac:dyDescent="0.3">
      <c r="A253" s="433"/>
      <c r="B253" s="437">
        <v>9</v>
      </c>
      <c r="C253" s="437">
        <v>249</v>
      </c>
      <c r="D253" s="434">
        <v>34.725388000000002</v>
      </c>
      <c r="E253" s="434">
        <v>34.590018000000001</v>
      </c>
      <c r="F253" s="434">
        <v>34.910029999999999</v>
      </c>
      <c r="G253" s="434">
        <v>22</v>
      </c>
    </row>
    <row r="254" spans="1:7" ht="18.600000000000001" thickBot="1" x14ac:dyDescent="0.3">
      <c r="A254" s="433"/>
      <c r="B254" s="437">
        <v>10</v>
      </c>
      <c r="C254" s="437">
        <v>250</v>
      </c>
      <c r="D254" s="434">
        <v>35.068686999999997</v>
      </c>
      <c r="E254" s="434">
        <v>34.629761000000002</v>
      </c>
      <c r="F254" s="434">
        <v>35.750453999999998</v>
      </c>
      <c r="G254" s="434">
        <v>21</v>
      </c>
    </row>
    <row r="255" spans="1:7" ht="18.600000000000001" thickBot="1" x14ac:dyDescent="0.3">
      <c r="A255" s="433"/>
      <c r="B255" s="437">
        <v>11</v>
      </c>
      <c r="C255" s="437">
        <v>251</v>
      </c>
      <c r="D255" s="434">
        <v>35.337054000000002</v>
      </c>
      <c r="E255" s="434">
        <v>34.944656000000002</v>
      </c>
      <c r="F255" s="434">
        <v>35.699697</v>
      </c>
      <c r="G255" s="434">
        <v>22</v>
      </c>
    </row>
    <row r="256" spans="1:7" ht="18.600000000000001" thickBot="1" x14ac:dyDescent="0.3">
      <c r="A256" s="433"/>
      <c r="B256" s="437">
        <v>12</v>
      </c>
      <c r="C256" s="437">
        <v>252</v>
      </c>
      <c r="D256" s="434">
        <v>35.789088</v>
      </c>
      <c r="E256" s="434">
        <v>35.590004</v>
      </c>
      <c r="F256" s="434">
        <v>36.030189</v>
      </c>
      <c r="G256" s="434">
        <v>21</v>
      </c>
    </row>
    <row r="257" spans="1:7" ht="18.600000000000001" thickBot="1" x14ac:dyDescent="0.3">
      <c r="A257" s="433">
        <v>2017</v>
      </c>
      <c r="B257" s="437">
        <v>1</v>
      </c>
      <c r="C257" s="437">
        <v>253</v>
      </c>
      <c r="D257" s="434">
        <v>35.467840000000002</v>
      </c>
      <c r="E257" s="434">
        <v>35.139935000000001</v>
      </c>
      <c r="F257" s="434">
        <v>35.904670000000003</v>
      </c>
      <c r="G257" s="434">
        <v>22</v>
      </c>
    </row>
    <row r="258" spans="1:7" ht="18.600000000000001" thickBot="1" x14ac:dyDescent="0.3">
      <c r="A258" s="433"/>
      <c r="B258" s="437">
        <v>2</v>
      </c>
      <c r="C258" s="437">
        <v>254</v>
      </c>
      <c r="D258" s="434">
        <v>35.008310000000002</v>
      </c>
      <c r="E258" s="434">
        <v>34.855010999999998</v>
      </c>
      <c r="F258" s="434">
        <v>35.119554999999998</v>
      </c>
      <c r="G258" s="434">
        <v>20</v>
      </c>
    </row>
    <row r="259" spans="1:7" ht="18.600000000000001" thickBot="1" x14ac:dyDescent="0.3">
      <c r="A259" s="433"/>
      <c r="B259" s="437">
        <v>3</v>
      </c>
      <c r="C259" s="437">
        <v>255</v>
      </c>
      <c r="D259" s="434">
        <v>34.874769999999998</v>
      </c>
      <c r="E259" s="434">
        <v>34.350262000000001</v>
      </c>
      <c r="F259" s="434">
        <v>35.410145</v>
      </c>
      <c r="G259" s="434">
        <v>23</v>
      </c>
    </row>
    <row r="260" spans="1:7" ht="18.600000000000001" thickBot="1" x14ac:dyDescent="0.3">
      <c r="A260" s="433"/>
      <c r="B260" s="437">
        <v>4</v>
      </c>
      <c r="C260" s="437">
        <v>256</v>
      </c>
      <c r="D260" s="434">
        <v>34.475181999999997</v>
      </c>
      <c r="E260" s="434">
        <v>34.339604999999999</v>
      </c>
      <c r="F260" s="434">
        <v>34.650216999999998</v>
      </c>
      <c r="G260" s="434">
        <v>18</v>
      </c>
    </row>
    <row r="261" spans="1:7" ht="18.600000000000001" thickBot="1" x14ac:dyDescent="0.3">
      <c r="A261" s="433"/>
      <c r="B261" s="437">
        <v>5</v>
      </c>
      <c r="C261" s="437">
        <v>257</v>
      </c>
      <c r="D261" s="434">
        <v>34.460943</v>
      </c>
      <c r="E261" s="434">
        <v>34.049661</v>
      </c>
      <c r="F261" s="434">
        <v>34.764879000000001</v>
      </c>
      <c r="G261" s="434">
        <v>22</v>
      </c>
    </row>
    <row r="262" spans="1:7" ht="18.600000000000001" thickBot="1" x14ac:dyDescent="0.3">
      <c r="A262" s="433"/>
      <c r="B262" s="437">
        <v>6</v>
      </c>
      <c r="C262" s="437">
        <v>258</v>
      </c>
      <c r="D262" s="434">
        <v>34.000804000000002</v>
      </c>
      <c r="E262" s="434">
        <v>33.919943000000004</v>
      </c>
      <c r="F262" s="434">
        <v>34.150103000000001</v>
      </c>
      <c r="G262" s="434">
        <v>22</v>
      </c>
    </row>
    <row r="263" spans="1:7" ht="18.600000000000001" thickBot="1" x14ac:dyDescent="0.3">
      <c r="A263" s="433"/>
      <c r="B263" s="437">
        <v>7</v>
      </c>
      <c r="C263" s="437">
        <v>259</v>
      </c>
      <c r="D263" s="434">
        <v>33.739341000000003</v>
      </c>
      <c r="E263" s="434">
        <v>33.300077000000002</v>
      </c>
      <c r="F263" s="434">
        <v>34.119610000000002</v>
      </c>
      <c r="G263" s="434">
        <v>21</v>
      </c>
    </row>
    <row r="264" spans="1:7" ht="18.600000000000001" thickBot="1" x14ac:dyDescent="0.3">
      <c r="A264" s="433"/>
      <c r="B264" s="437">
        <v>8</v>
      </c>
      <c r="C264" s="437">
        <v>260</v>
      </c>
      <c r="D264" s="434">
        <v>33.259610000000002</v>
      </c>
      <c r="E264" s="434">
        <v>33.169820999999999</v>
      </c>
      <c r="F264" s="434">
        <v>33.359606999999997</v>
      </c>
      <c r="G264" s="434">
        <v>23</v>
      </c>
    </row>
    <row r="265" spans="1:7" ht="18.600000000000001" thickBot="1" x14ac:dyDescent="0.3">
      <c r="A265" s="433"/>
      <c r="B265" s="437">
        <v>9</v>
      </c>
      <c r="C265" s="437">
        <v>261</v>
      </c>
      <c r="D265" s="434">
        <v>33.150528999999999</v>
      </c>
      <c r="E265" s="434">
        <v>33.064906999999998</v>
      </c>
      <c r="F265" s="434">
        <v>33.390219000000002</v>
      </c>
      <c r="G265" s="434">
        <v>21</v>
      </c>
    </row>
    <row r="266" spans="1:7" ht="18.600000000000001" thickBot="1" x14ac:dyDescent="0.3">
      <c r="A266" s="433"/>
      <c r="B266" s="437">
        <v>10</v>
      </c>
      <c r="C266" s="437">
        <v>262</v>
      </c>
      <c r="D266" s="434">
        <v>33.233998</v>
      </c>
      <c r="E266" s="434">
        <v>33.060239000000003</v>
      </c>
      <c r="F266" s="434">
        <v>33.460323000000002</v>
      </c>
      <c r="G266" s="434">
        <v>22</v>
      </c>
    </row>
    <row r="267" spans="1:7" ht="18.600000000000001" thickBot="1" x14ac:dyDescent="0.3">
      <c r="A267" s="433"/>
      <c r="B267" s="437">
        <v>11</v>
      </c>
      <c r="C267" s="437">
        <v>263</v>
      </c>
      <c r="D267" s="434">
        <v>32.906177</v>
      </c>
      <c r="E267" s="434">
        <v>32.539951000000002</v>
      </c>
      <c r="F267" s="434">
        <v>33.164797</v>
      </c>
      <c r="G267" s="434">
        <v>22</v>
      </c>
    </row>
    <row r="268" spans="1:7" ht="18.600000000000001" thickBot="1" x14ac:dyDescent="0.3">
      <c r="A268" s="433"/>
      <c r="B268" s="437">
        <v>12</v>
      </c>
      <c r="C268" s="437">
        <v>264</v>
      </c>
      <c r="D268" s="434">
        <v>32.644750999999999</v>
      </c>
      <c r="E268" s="434">
        <v>32.504658999999997</v>
      </c>
      <c r="F268" s="434">
        <v>32.809584000000001</v>
      </c>
      <c r="G268" s="434">
        <v>19</v>
      </c>
    </row>
    <row r="269" spans="1:7" ht="18.600000000000001" thickBot="1" x14ac:dyDescent="0.3">
      <c r="A269" s="433">
        <v>2018</v>
      </c>
      <c r="B269" s="437">
        <v>1</v>
      </c>
      <c r="C269" s="437">
        <v>265</v>
      </c>
      <c r="D269" s="434">
        <v>31.901343000000001</v>
      </c>
      <c r="E269" s="434">
        <v>31.310106999999999</v>
      </c>
      <c r="F269" s="434">
        <v>32.529319000000001</v>
      </c>
      <c r="G269" s="434">
        <v>22</v>
      </c>
    </row>
    <row r="270" spans="1:7" ht="18.600000000000001" thickBot="1" x14ac:dyDescent="0.3">
      <c r="A270" s="433"/>
      <c r="B270" s="437">
        <v>2</v>
      </c>
      <c r="C270" s="437">
        <v>266</v>
      </c>
      <c r="D270" s="434">
        <v>31.494447999999998</v>
      </c>
      <c r="E270" s="434">
        <v>31.290116000000001</v>
      </c>
      <c r="F270" s="434">
        <v>31.839700000000001</v>
      </c>
      <c r="G270" s="434">
        <v>20</v>
      </c>
    </row>
    <row r="271" spans="1:7" ht="18.600000000000001" thickBot="1" x14ac:dyDescent="0.3">
      <c r="A271" s="433"/>
      <c r="B271" s="437">
        <v>3</v>
      </c>
      <c r="C271" s="437">
        <v>267</v>
      </c>
      <c r="D271" s="434">
        <v>31.274495999999999</v>
      </c>
      <c r="E271" s="434">
        <v>31.130244999999999</v>
      </c>
      <c r="F271" s="434">
        <v>31.570125999999998</v>
      </c>
      <c r="G271" s="434">
        <v>21</v>
      </c>
    </row>
    <row r="272" spans="1:7" ht="18.600000000000001" thickBot="1" x14ac:dyDescent="0.3">
      <c r="A272" s="433"/>
      <c r="B272" s="437">
        <v>4</v>
      </c>
      <c r="C272" s="437">
        <v>268</v>
      </c>
      <c r="D272" s="434">
        <v>31.322700000000001</v>
      </c>
      <c r="E272" s="434">
        <v>31.149630999999999</v>
      </c>
      <c r="F272" s="434">
        <v>31.584734999999998</v>
      </c>
      <c r="G272" s="434">
        <v>20</v>
      </c>
    </row>
    <row r="273" spans="1:7" ht="18.600000000000001" thickBot="1" x14ac:dyDescent="0.3">
      <c r="A273" s="433"/>
      <c r="B273" s="437">
        <v>5</v>
      </c>
      <c r="C273" s="437">
        <v>269</v>
      </c>
      <c r="D273" s="434">
        <v>31.985952000000001</v>
      </c>
      <c r="E273" s="434">
        <v>31.630254000000001</v>
      </c>
      <c r="F273" s="434">
        <v>32.229781000000003</v>
      </c>
      <c r="G273" s="434">
        <v>22</v>
      </c>
    </row>
    <row r="274" spans="1:7" ht="18.600000000000001" thickBot="1" x14ac:dyDescent="0.3">
      <c r="A274" s="433"/>
      <c r="B274" s="437">
        <v>6</v>
      </c>
      <c r="C274" s="437">
        <v>270</v>
      </c>
      <c r="D274" s="434">
        <v>32.481637999999997</v>
      </c>
      <c r="E274" s="434">
        <v>31.899702999999999</v>
      </c>
      <c r="F274" s="434">
        <v>33.120089999999998</v>
      </c>
      <c r="G274" s="434">
        <v>21</v>
      </c>
    </row>
    <row r="275" spans="1:7" ht="18.600000000000001" thickBot="1" x14ac:dyDescent="0.3">
      <c r="A275" s="433"/>
      <c r="B275" s="437">
        <v>7</v>
      </c>
      <c r="C275" s="437">
        <v>271</v>
      </c>
      <c r="D275" s="434">
        <v>33.283188000000003</v>
      </c>
      <c r="E275" s="434">
        <v>33.100347999999997</v>
      </c>
      <c r="F275" s="434">
        <v>33.480324000000003</v>
      </c>
      <c r="G275" s="434">
        <v>22</v>
      </c>
    </row>
    <row r="276" spans="1:7" ht="18.600000000000001" thickBot="1" x14ac:dyDescent="0.3">
      <c r="A276" s="433"/>
      <c r="B276" s="437">
        <v>8</v>
      </c>
      <c r="C276" s="437">
        <v>272</v>
      </c>
      <c r="D276" s="434">
        <v>33.031264</v>
      </c>
      <c r="E276" s="434">
        <v>32.534585999999997</v>
      </c>
      <c r="F276" s="434">
        <v>33.385074000000003</v>
      </c>
      <c r="G276" s="434">
        <v>23</v>
      </c>
    </row>
    <row r="277" spans="1:7" ht="18.600000000000001" thickBot="1" x14ac:dyDescent="0.3">
      <c r="A277" s="433"/>
      <c r="B277" s="437">
        <v>9</v>
      </c>
      <c r="C277" s="437">
        <v>273</v>
      </c>
      <c r="D277" s="434">
        <v>32.605685000000001</v>
      </c>
      <c r="E277" s="434">
        <v>32.334947999999997</v>
      </c>
      <c r="F277" s="434">
        <v>32.855414000000003</v>
      </c>
      <c r="G277" s="434">
        <v>20</v>
      </c>
    </row>
    <row r="278" spans="1:7" ht="18.600000000000001" thickBot="1" x14ac:dyDescent="0.3">
      <c r="A278" s="433"/>
      <c r="B278" s="437">
        <v>10</v>
      </c>
      <c r="C278" s="437">
        <v>274</v>
      </c>
      <c r="D278" s="434">
        <v>32.787827999999998</v>
      </c>
      <c r="E278" s="434">
        <v>32.240220999999998</v>
      </c>
      <c r="F278" s="434">
        <v>33.309883999999997</v>
      </c>
      <c r="G278" s="434">
        <v>23</v>
      </c>
    </row>
    <row r="279" spans="1:7" ht="18.600000000000001" thickBot="1" x14ac:dyDescent="0.3">
      <c r="A279" s="433"/>
      <c r="B279" s="437">
        <v>11</v>
      </c>
      <c r="C279" s="437">
        <v>275</v>
      </c>
      <c r="D279" s="434">
        <v>32.964207999999999</v>
      </c>
      <c r="E279" s="434">
        <v>32.784886999999998</v>
      </c>
      <c r="F279" s="434">
        <v>33.109631999999998</v>
      </c>
      <c r="G279" s="434">
        <v>22</v>
      </c>
    </row>
    <row r="280" spans="1:7" ht="18.600000000000001" thickBot="1" x14ac:dyDescent="0.3">
      <c r="A280" s="433"/>
      <c r="B280" s="437">
        <v>12</v>
      </c>
      <c r="C280" s="437">
        <v>276</v>
      </c>
      <c r="D280" s="434">
        <v>32.710925000000003</v>
      </c>
      <c r="E280" s="434">
        <v>32.359825000000001</v>
      </c>
      <c r="F280" s="434">
        <v>32.85463</v>
      </c>
      <c r="G280" s="434">
        <v>19</v>
      </c>
    </row>
    <row r="281" spans="1:7" ht="18.600000000000001" thickBot="1" x14ac:dyDescent="0.3">
      <c r="A281" s="433">
        <v>2019</v>
      </c>
      <c r="B281" s="437">
        <v>1</v>
      </c>
      <c r="C281" s="437">
        <v>277</v>
      </c>
      <c r="D281" s="434">
        <v>31.812373000000001</v>
      </c>
      <c r="E281" s="434">
        <v>31.235202000000001</v>
      </c>
      <c r="F281" s="434">
        <v>32.295341000000001</v>
      </c>
      <c r="G281" s="434">
        <v>22</v>
      </c>
    </row>
    <row r="282" spans="1:7" ht="18.600000000000001" thickBot="1" x14ac:dyDescent="0.3">
      <c r="A282" s="433"/>
      <c r="B282" s="437">
        <v>2</v>
      </c>
      <c r="C282" s="437">
        <v>278</v>
      </c>
      <c r="D282" s="434">
        <v>31.302547000000001</v>
      </c>
      <c r="E282" s="434">
        <v>31.095044999999999</v>
      </c>
      <c r="F282" s="434">
        <v>31.519797000000001</v>
      </c>
      <c r="G282" s="434">
        <v>20</v>
      </c>
    </row>
    <row r="283" spans="1:7" ht="18.600000000000001" thickBot="1" x14ac:dyDescent="0.3">
      <c r="A283" s="433"/>
      <c r="B283" s="437">
        <v>3</v>
      </c>
      <c r="C283" s="437">
        <v>279</v>
      </c>
      <c r="D283" s="434">
        <v>31.735310999999999</v>
      </c>
      <c r="E283" s="434">
        <v>31.610192000000001</v>
      </c>
      <c r="F283" s="434">
        <v>31.879686</v>
      </c>
      <c r="G283" s="434">
        <v>21</v>
      </c>
    </row>
    <row r="284" spans="1:7" ht="18.600000000000001" thickBot="1" x14ac:dyDescent="0.3">
      <c r="A284" s="433"/>
      <c r="B284" s="437">
        <v>4</v>
      </c>
      <c r="C284" s="437">
        <v>280</v>
      </c>
      <c r="D284" s="434">
        <v>31.856180999999999</v>
      </c>
      <c r="E284" s="434">
        <v>31.734603</v>
      </c>
      <c r="F284" s="434">
        <v>32.139710999999998</v>
      </c>
      <c r="G284" s="434">
        <v>20</v>
      </c>
    </row>
    <row r="285" spans="1:7" ht="18.600000000000001" thickBot="1" x14ac:dyDescent="0.3">
      <c r="A285" s="433"/>
      <c r="B285" s="437">
        <v>5</v>
      </c>
      <c r="C285" s="437">
        <v>281</v>
      </c>
      <c r="D285" s="434">
        <v>31.803184000000002</v>
      </c>
      <c r="E285" s="434">
        <v>31.500088999999999</v>
      </c>
      <c r="F285" s="434">
        <v>32.025100999999999</v>
      </c>
      <c r="G285" s="434">
        <v>22</v>
      </c>
    </row>
    <row r="286" spans="1:7" ht="18.600000000000001" thickBot="1" x14ac:dyDescent="0.3">
      <c r="A286" s="433"/>
      <c r="B286" s="437">
        <v>6</v>
      </c>
      <c r="C286" s="437">
        <v>282</v>
      </c>
      <c r="D286" s="434">
        <v>31.115504000000001</v>
      </c>
      <c r="E286" s="434">
        <v>30.665202000000001</v>
      </c>
      <c r="F286" s="434">
        <v>31.415288</v>
      </c>
      <c r="G286" s="434">
        <v>20</v>
      </c>
    </row>
    <row r="287" spans="1:7" ht="18.600000000000001" thickBot="1" x14ac:dyDescent="0.3">
      <c r="A287" s="433"/>
      <c r="B287" s="437">
        <v>7</v>
      </c>
      <c r="C287" s="437">
        <v>283</v>
      </c>
      <c r="D287" s="434">
        <v>30.798216</v>
      </c>
      <c r="E287" s="434">
        <v>30.580005</v>
      </c>
      <c r="F287" s="434">
        <v>30.945163000000001</v>
      </c>
      <c r="G287" s="434">
        <v>23</v>
      </c>
    </row>
    <row r="288" spans="1:7" ht="18.600000000000001" thickBot="1" x14ac:dyDescent="0.3">
      <c r="A288" s="433"/>
      <c r="B288" s="437">
        <v>8</v>
      </c>
      <c r="C288" s="437">
        <v>284</v>
      </c>
      <c r="D288" s="434">
        <v>30.754369000000001</v>
      </c>
      <c r="E288" s="434">
        <v>30.561059</v>
      </c>
      <c r="F288" s="434">
        <v>30.895171000000001</v>
      </c>
      <c r="G288" s="434">
        <v>22</v>
      </c>
    </row>
    <row r="289" spans="1:7" ht="18.600000000000001" thickBot="1" x14ac:dyDescent="0.3">
      <c r="A289" s="433"/>
      <c r="B289" s="437">
        <v>9</v>
      </c>
      <c r="C289" s="437">
        <v>285</v>
      </c>
      <c r="D289" s="434">
        <v>30.570180000000001</v>
      </c>
      <c r="E289" s="434">
        <v>30.405911</v>
      </c>
      <c r="F289" s="434">
        <v>30.673859</v>
      </c>
      <c r="G289" s="434">
        <v>21</v>
      </c>
    </row>
    <row r="290" spans="1:7" ht="18.600000000000001" thickBot="1" x14ac:dyDescent="0.3">
      <c r="A290" s="433"/>
      <c r="B290" s="437">
        <v>10</v>
      </c>
      <c r="C290" s="437">
        <v>286</v>
      </c>
      <c r="D290" s="434">
        <v>30.363247000000001</v>
      </c>
      <c r="E290" s="434">
        <v>30.164760999999999</v>
      </c>
      <c r="F290" s="434">
        <v>30.675353000000001</v>
      </c>
      <c r="G290" s="434">
        <v>23</v>
      </c>
    </row>
    <row r="291" spans="1:7" ht="18.600000000000001" thickBot="1" x14ac:dyDescent="0.3">
      <c r="A291" s="433"/>
      <c r="B291" s="437">
        <v>11</v>
      </c>
      <c r="C291" s="437">
        <v>287</v>
      </c>
      <c r="D291" s="434">
        <v>30.243686</v>
      </c>
      <c r="E291" s="434">
        <v>30.184936</v>
      </c>
      <c r="F291" s="434">
        <v>30.385173000000002</v>
      </c>
      <c r="G291" s="434">
        <v>21</v>
      </c>
    </row>
    <row r="292" spans="1:7" ht="18.600000000000001" thickBot="1" x14ac:dyDescent="0.3">
      <c r="A292" s="433"/>
      <c r="B292" s="437">
        <v>12</v>
      </c>
      <c r="C292" s="437">
        <v>288</v>
      </c>
      <c r="D292" s="434">
        <v>30.199511000000001</v>
      </c>
      <c r="E292" s="434">
        <v>29.744526</v>
      </c>
      <c r="F292" s="434">
        <v>30.355146999999999</v>
      </c>
      <c r="G292" s="434">
        <v>20</v>
      </c>
    </row>
    <row r="293" spans="1:7" ht="18.600000000000001" thickBot="1" x14ac:dyDescent="0.3">
      <c r="A293" s="433">
        <v>2020</v>
      </c>
      <c r="B293" s="437">
        <v>1</v>
      </c>
      <c r="C293" s="437">
        <v>289</v>
      </c>
      <c r="D293" s="434">
        <v>30.463754999999999</v>
      </c>
      <c r="E293" s="434">
        <v>30.14472</v>
      </c>
      <c r="F293" s="434">
        <v>31.195031</v>
      </c>
      <c r="G293" s="434">
        <v>22</v>
      </c>
    </row>
    <row r="294" spans="1:7" ht="18.600000000000001" thickBot="1" x14ac:dyDescent="0.3">
      <c r="A294" s="433"/>
      <c r="B294" s="437">
        <v>2</v>
      </c>
      <c r="C294" s="437">
        <v>290</v>
      </c>
      <c r="D294" s="434">
        <v>31.328713</v>
      </c>
      <c r="E294" s="434">
        <v>30.950398</v>
      </c>
      <c r="F294" s="434">
        <v>31.874942999999998</v>
      </c>
      <c r="G294" s="434">
        <v>20</v>
      </c>
    </row>
    <row r="295" spans="1:7" ht="18.600000000000001" thickBot="1" x14ac:dyDescent="0.3">
      <c r="A295" s="433"/>
      <c r="B295" s="437">
        <v>3</v>
      </c>
      <c r="C295" s="437">
        <v>291</v>
      </c>
      <c r="D295" s="434">
        <v>32.095681999999996</v>
      </c>
      <c r="E295" s="434">
        <v>31.340225</v>
      </c>
      <c r="F295" s="434">
        <v>32.864694</v>
      </c>
      <c r="G295" s="434">
        <v>22</v>
      </c>
    </row>
    <row r="296" spans="1:7" ht="18.600000000000001" thickBot="1" x14ac:dyDescent="0.3">
      <c r="A296" s="433"/>
      <c r="B296" s="437">
        <v>4</v>
      </c>
      <c r="C296" s="437">
        <v>292</v>
      </c>
      <c r="D296" s="434">
        <v>32.632618000000001</v>
      </c>
      <c r="E296" s="434">
        <v>32.319902999999996</v>
      </c>
      <c r="F296" s="434">
        <v>33.020299999999999</v>
      </c>
      <c r="G296" s="434">
        <v>20</v>
      </c>
    </row>
    <row r="297" spans="1:7" ht="18.600000000000001" thickBot="1" x14ac:dyDescent="0.3">
      <c r="A297" s="433"/>
      <c r="B297" s="437">
        <v>5</v>
      </c>
      <c r="C297" s="437">
        <v>293</v>
      </c>
      <c r="D297" s="434">
        <v>32.062482000000003</v>
      </c>
      <c r="E297" s="434">
        <v>31.81</v>
      </c>
      <c r="F297" s="434">
        <v>32.429751000000003</v>
      </c>
      <c r="G297" s="434">
        <v>20</v>
      </c>
    </row>
    <row r="298" spans="1:7" ht="18.600000000000001" thickBot="1" x14ac:dyDescent="0.3">
      <c r="A298" s="433"/>
      <c r="B298" s="437">
        <v>6</v>
      </c>
      <c r="C298" s="437">
        <v>294</v>
      </c>
      <c r="D298" s="434">
        <v>31.167275</v>
      </c>
      <c r="E298" s="434">
        <v>30.840426000000001</v>
      </c>
      <c r="F298" s="434">
        <v>31.669664999999998</v>
      </c>
      <c r="G298" s="434">
        <v>22</v>
      </c>
    </row>
    <row r="299" spans="1:7" ht="18.600000000000001" thickBot="1" x14ac:dyDescent="0.3">
      <c r="A299" s="433"/>
      <c r="B299" s="437">
        <v>7</v>
      </c>
      <c r="C299" s="437">
        <v>295</v>
      </c>
      <c r="D299" s="434">
        <v>31.414643999999999</v>
      </c>
      <c r="E299" s="434">
        <v>30.990179000000001</v>
      </c>
      <c r="F299" s="434">
        <v>31.774982999999999</v>
      </c>
      <c r="G299" s="434">
        <v>23</v>
      </c>
    </row>
    <row r="300" spans="1:7" ht="18.600000000000001" thickBot="1" x14ac:dyDescent="0.3">
      <c r="A300" s="433"/>
      <c r="B300" s="437">
        <v>8</v>
      </c>
      <c r="C300" s="437">
        <v>296</v>
      </c>
      <c r="D300" s="434">
        <v>31.20627</v>
      </c>
      <c r="E300" s="434">
        <v>31.009785999999998</v>
      </c>
      <c r="F300" s="434">
        <v>31.575324999999999</v>
      </c>
      <c r="G300" s="434">
        <v>21</v>
      </c>
    </row>
    <row r="301" spans="1:7" ht="18.600000000000001" thickBot="1" x14ac:dyDescent="0.3">
      <c r="A301" s="433"/>
      <c r="B301" s="437">
        <v>9</v>
      </c>
      <c r="C301" s="437">
        <v>297</v>
      </c>
      <c r="D301" s="434">
        <v>31.374798999999999</v>
      </c>
      <c r="E301" s="434">
        <v>31.075332</v>
      </c>
      <c r="F301" s="434">
        <v>31.675236000000002</v>
      </c>
      <c r="G301" s="434">
        <v>22</v>
      </c>
    </row>
    <row r="302" spans="1:7" ht="18.600000000000001" thickBot="1" x14ac:dyDescent="0.3">
      <c r="A302" s="433"/>
      <c r="B302" s="437">
        <v>10</v>
      </c>
      <c r="C302" s="437">
        <v>298</v>
      </c>
      <c r="D302" s="434">
        <v>31.248495999999999</v>
      </c>
      <c r="E302" s="434">
        <v>31.054684000000002</v>
      </c>
      <c r="F302" s="434">
        <v>31.569946000000002</v>
      </c>
      <c r="G302" s="434">
        <v>22</v>
      </c>
    </row>
    <row r="303" spans="1:7" ht="18.600000000000001" thickBot="1" x14ac:dyDescent="0.3">
      <c r="A303" s="433"/>
      <c r="B303" s="437">
        <v>11</v>
      </c>
      <c r="C303" s="437">
        <v>299</v>
      </c>
      <c r="D303" s="434">
        <v>30.446672</v>
      </c>
      <c r="E303" s="434">
        <v>30.159905999999999</v>
      </c>
      <c r="F303" s="434">
        <v>31.109680999999998</v>
      </c>
      <c r="G303" s="434">
        <v>21</v>
      </c>
    </row>
    <row r="304" spans="1:7" ht="18.600000000000001" thickBot="1" x14ac:dyDescent="0.3">
      <c r="A304" s="433"/>
      <c r="B304" s="437">
        <v>12</v>
      </c>
      <c r="C304" s="437">
        <v>300</v>
      </c>
      <c r="D304" s="434">
        <v>30.082975000000001</v>
      </c>
      <c r="E304" s="434">
        <v>29.819724000000001</v>
      </c>
      <c r="F304" s="434">
        <v>30.25986</v>
      </c>
      <c r="G304" s="434">
        <v>22</v>
      </c>
    </row>
    <row r="305" spans="1:7" ht="18.600000000000001" thickBot="1" x14ac:dyDescent="0.3">
      <c r="A305" s="433">
        <v>2021</v>
      </c>
      <c r="B305" s="437">
        <v>1</v>
      </c>
      <c r="C305" s="437">
        <v>301</v>
      </c>
      <c r="D305" s="434">
        <v>30.012457999999999</v>
      </c>
      <c r="E305" s="434">
        <v>29.869876000000001</v>
      </c>
      <c r="F305" s="434">
        <v>30.140086</v>
      </c>
      <c r="G305" s="434">
        <v>20</v>
      </c>
    </row>
    <row r="306" spans="1:7" ht="18.600000000000001" thickBot="1" x14ac:dyDescent="0.3">
      <c r="A306" s="433"/>
      <c r="B306" s="437">
        <v>2</v>
      </c>
      <c r="C306" s="437">
        <v>302</v>
      </c>
      <c r="D306" s="434">
        <v>30.010950000000001</v>
      </c>
      <c r="E306" s="434">
        <v>29.860047999999999</v>
      </c>
      <c r="F306" s="434">
        <v>30.359705999999999</v>
      </c>
      <c r="G306" s="434">
        <v>20</v>
      </c>
    </row>
    <row r="307" spans="1:7" ht="18.600000000000001" thickBot="1" x14ac:dyDescent="0.3">
      <c r="A307" s="433"/>
      <c r="B307" s="437">
        <v>3</v>
      </c>
      <c r="C307" s="437">
        <v>303</v>
      </c>
      <c r="D307" s="434">
        <v>30.787929999999999</v>
      </c>
      <c r="E307" s="434">
        <v>30.229818000000002</v>
      </c>
      <c r="F307" s="434">
        <v>31.269908999999998</v>
      </c>
      <c r="G307" s="434">
        <v>23</v>
      </c>
    </row>
    <row r="308" spans="1:7" ht="18.600000000000001" thickBot="1" x14ac:dyDescent="0.3">
      <c r="A308" s="433"/>
      <c r="B308" s="437">
        <v>4</v>
      </c>
      <c r="C308" s="437">
        <v>304</v>
      </c>
      <c r="D308" s="434">
        <v>31.347629000000001</v>
      </c>
      <c r="E308" s="434">
        <v>31.160404</v>
      </c>
      <c r="F308" s="434">
        <v>31.58961</v>
      </c>
      <c r="G308" s="434">
        <v>20</v>
      </c>
    </row>
    <row r="309" spans="1:7" ht="18.600000000000001" thickBot="1" x14ac:dyDescent="0.3">
      <c r="A309" s="433"/>
      <c r="B309" s="437">
        <v>5</v>
      </c>
      <c r="C309" s="437">
        <v>305</v>
      </c>
      <c r="D309" s="434">
        <v>31.279059</v>
      </c>
      <c r="E309" s="434">
        <v>31.069932000000001</v>
      </c>
      <c r="F309" s="434">
        <v>31.469982999999999</v>
      </c>
      <c r="G309" s="434">
        <v>21</v>
      </c>
    </row>
    <row r="310" spans="1:7" ht="18.600000000000001" thickBot="1" x14ac:dyDescent="0.3">
      <c r="A310" s="433"/>
      <c r="B310" s="437">
        <v>6</v>
      </c>
      <c r="C310" s="437">
        <v>306</v>
      </c>
      <c r="D310" s="434">
        <v>31.440847000000002</v>
      </c>
      <c r="E310" s="434">
        <v>31.064741999999999</v>
      </c>
      <c r="F310" s="434">
        <v>32.104643000000003</v>
      </c>
      <c r="G310" s="434">
        <v>22</v>
      </c>
    </row>
    <row r="311" spans="1:7" ht="18.600000000000001" thickBot="1" x14ac:dyDescent="0.3">
      <c r="A311" s="433"/>
      <c r="B311" s="437">
        <v>7</v>
      </c>
      <c r="C311" s="437">
        <v>307</v>
      </c>
      <c r="D311" s="434">
        <v>32.640017999999998</v>
      </c>
      <c r="E311" s="434">
        <v>32.049815000000002</v>
      </c>
      <c r="F311" s="434">
        <v>32.960203</v>
      </c>
      <c r="G311" s="434">
        <v>22</v>
      </c>
    </row>
    <row r="312" spans="1:7" ht="18.600000000000001" thickBot="1" x14ac:dyDescent="0.3">
      <c r="A312" s="433"/>
      <c r="B312" s="437">
        <v>8</v>
      </c>
      <c r="C312" s="437">
        <v>308</v>
      </c>
      <c r="D312" s="434">
        <v>33.092936999999999</v>
      </c>
      <c r="E312" s="434">
        <v>32.219875000000002</v>
      </c>
      <c r="F312" s="434">
        <v>33.460160000000002</v>
      </c>
      <c r="G312" s="434">
        <v>22</v>
      </c>
    </row>
    <row r="313" spans="1:7" ht="18.600000000000001" thickBot="1" x14ac:dyDescent="0.3">
      <c r="A313" s="433"/>
      <c r="B313" s="437">
        <v>9</v>
      </c>
      <c r="C313" s="437">
        <v>309</v>
      </c>
      <c r="D313" s="434">
        <v>33.067945000000002</v>
      </c>
      <c r="E313" s="434">
        <v>32.329695000000001</v>
      </c>
      <c r="F313" s="434">
        <v>33.885361000000003</v>
      </c>
      <c r="G313" s="434">
        <v>22</v>
      </c>
    </row>
    <row r="314" spans="1:7" ht="18.600000000000001" thickBot="1" x14ac:dyDescent="0.3">
      <c r="A314" s="433"/>
      <c r="B314" s="437">
        <v>10</v>
      </c>
      <c r="C314" s="437">
        <v>310</v>
      </c>
      <c r="D314" s="434">
        <v>33.455182999999998</v>
      </c>
      <c r="E314" s="434">
        <v>33.100361999999997</v>
      </c>
      <c r="F314" s="434">
        <v>33.890140000000002</v>
      </c>
      <c r="G314" s="434">
        <v>21</v>
      </c>
    </row>
    <row r="315" spans="1:7" ht="18.600000000000001" thickBot="1" x14ac:dyDescent="0.3">
      <c r="A315" s="433"/>
      <c r="B315" s="437">
        <v>11</v>
      </c>
      <c r="C315" s="437">
        <v>311</v>
      </c>
      <c r="D315" s="434">
        <v>33.093674999999998</v>
      </c>
      <c r="E315" s="434">
        <v>32.639929000000002</v>
      </c>
      <c r="F315" s="434">
        <v>33.690047</v>
      </c>
      <c r="G315" s="434">
        <v>22</v>
      </c>
    </row>
    <row r="316" spans="1:7" ht="18.600000000000001" thickBot="1" x14ac:dyDescent="0.3">
      <c r="A316" s="433"/>
      <c r="B316" s="437">
        <v>12</v>
      </c>
      <c r="C316" s="437">
        <v>312</v>
      </c>
      <c r="D316" s="434">
        <v>33.555844</v>
      </c>
      <c r="E316" s="434">
        <v>33.244746999999997</v>
      </c>
      <c r="F316" s="434">
        <v>33.890315999999999</v>
      </c>
      <c r="G316" s="434">
        <v>23</v>
      </c>
    </row>
    <row r="317" spans="1:7" ht="18.600000000000001" thickBot="1" x14ac:dyDescent="0.3">
      <c r="A317" s="433">
        <v>2022</v>
      </c>
      <c r="B317" s="437">
        <v>1</v>
      </c>
      <c r="C317" s="437">
        <v>313</v>
      </c>
      <c r="D317" s="434">
        <v>33.238098000000001</v>
      </c>
      <c r="E317" s="434">
        <v>32.914976000000003</v>
      </c>
      <c r="F317" s="434">
        <v>33.699770000000001</v>
      </c>
      <c r="G317" s="434">
        <v>21</v>
      </c>
    </row>
    <row r="318" spans="1:7" ht="18.600000000000001" thickBot="1" x14ac:dyDescent="0.3">
      <c r="A318" s="433"/>
      <c r="B318" s="437">
        <v>2</v>
      </c>
      <c r="C318" s="437">
        <v>314</v>
      </c>
      <c r="D318" s="434">
        <v>32.634954</v>
      </c>
      <c r="E318" s="434">
        <v>32.090012000000002</v>
      </c>
      <c r="F318" s="434">
        <v>33.195382000000002</v>
      </c>
      <c r="G318" s="434">
        <v>20</v>
      </c>
    </row>
    <row r="319" spans="1:7" ht="18.600000000000001" thickBot="1" x14ac:dyDescent="0.3">
      <c r="A319" s="433"/>
      <c r="B319" s="437">
        <v>3</v>
      </c>
      <c r="C319" s="437">
        <v>315</v>
      </c>
      <c r="D319" s="434">
        <v>33.259571999999999</v>
      </c>
      <c r="E319" s="434">
        <v>32.559587999999998</v>
      </c>
      <c r="F319" s="434">
        <v>33.765273999999998</v>
      </c>
      <c r="G319" s="434">
        <v>23</v>
      </c>
    </row>
    <row r="320" spans="1:7" ht="18.600000000000001" thickBot="1" x14ac:dyDescent="0.3">
      <c r="A320" s="433"/>
      <c r="B320" s="437">
        <v>4</v>
      </c>
      <c r="C320" s="437">
        <v>316</v>
      </c>
      <c r="D320" s="434">
        <v>33.796303999999999</v>
      </c>
      <c r="E320" s="434">
        <v>33.424720000000001</v>
      </c>
      <c r="F320" s="434">
        <v>34.479733000000003</v>
      </c>
      <c r="G320" s="434">
        <v>19</v>
      </c>
    </row>
    <row r="321" spans="1:7" ht="18.600000000000001" thickBot="1" x14ac:dyDescent="0.3">
      <c r="A321" s="433"/>
      <c r="B321" s="437">
        <v>5</v>
      </c>
      <c r="C321" s="437">
        <v>317</v>
      </c>
      <c r="D321" s="434">
        <v>34.403281</v>
      </c>
      <c r="E321" s="434">
        <v>34.089705000000002</v>
      </c>
      <c r="F321" s="434">
        <v>34.805219999999998</v>
      </c>
      <c r="G321" s="434">
        <v>22</v>
      </c>
    </row>
    <row r="322" spans="1:7" ht="18.600000000000001" thickBot="1" x14ac:dyDescent="0.3">
      <c r="A322" s="433"/>
      <c r="B322" s="437">
        <v>6</v>
      </c>
      <c r="C322" s="437">
        <v>318</v>
      </c>
      <c r="D322" s="434">
        <v>34.953752999999999</v>
      </c>
      <c r="E322" s="434">
        <v>34.274929999999998</v>
      </c>
      <c r="F322" s="434">
        <v>35.510339999999999</v>
      </c>
      <c r="G322" s="434">
        <v>22</v>
      </c>
    </row>
    <row r="323" spans="1:7" ht="18.600000000000001" thickBot="1" x14ac:dyDescent="0.3">
      <c r="A323" s="433"/>
      <c r="B323" s="437">
        <v>7</v>
      </c>
      <c r="C323" s="437">
        <v>319</v>
      </c>
      <c r="D323" s="434">
        <v>36.379669</v>
      </c>
      <c r="E323" s="434">
        <v>35.670023999999998</v>
      </c>
      <c r="F323" s="434">
        <v>36.925189000000003</v>
      </c>
      <c r="G323" s="434">
        <v>21</v>
      </c>
    </row>
    <row r="324" spans="1:7" ht="18.600000000000001" thickBot="1" x14ac:dyDescent="0.3">
      <c r="A324" s="433"/>
      <c r="B324" s="437">
        <v>8</v>
      </c>
      <c r="C324" s="437">
        <v>320</v>
      </c>
      <c r="D324" s="434">
        <v>35.848863999999999</v>
      </c>
      <c r="E324" s="434">
        <v>35.154769000000002</v>
      </c>
      <c r="F324" s="434">
        <v>36.450029999999998</v>
      </c>
      <c r="G324" s="434">
        <v>23</v>
      </c>
    </row>
    <row r="325" spans="1:7" ht="18.600000000000001" thickBot="1" x14ac:dyDescent="0.3">
      <c r="A325" s="433"/>
      <c r="B325" s="437">
        <v>9</v>
      </c>
      <c r="C325" s="437">
        <v>321</v>
      </c>
      <c r="D325" s="434">
        <v>37.035271000000002</v>
      </c>
      <c r="E325" s="434">
        <v>36.225060999999997</v>
      </c>
      <c r="F325" s="434">
        <v>38.355463</v>
      </c>
      <c r="G325" s="434">
        <v>22</v>
      </c>
    </row>
    <row r="326" spans="1:7" ht="18.600000000000001" thickBot="1" x14ac:dyDescent="0.3">
      <c r="A326" s="433"/>
      <c r="B326" s="437">
        <v>10</v>
      </c>
      <c r="C326" s="437">
        <v>322</v>
      </c>
      <c r="D326" s="434">
        <v>37.948507999999997</v>
      </c>
      <c r="E326" s="434">
        <v>37.349899000000001</v>
      </c>
      <c r="F326" s="434">
        <v>38.385406000000003</v>
      </c>
      <c r="G326" s="434">
        <v>21</v>
      </c>
    </row>
    <row r="327" spans="1:7" ht="18.600000000000001" thickBot="1" x14ac:dyDescent="0.3">
      <c r="A327" s="433"/>
      <c r="B327" s="437">
        <v>11</v>
      </c>
      <c r="C327" s="437">
        <v>323</v>
      </c>
      <c r="D327" s="434">
        <v>36.371690999999998</v>
      </c>
      <c r="E327" s="434">
        <v>35.262143000000002</v>
      </c>
      <c r="F327" s="434">
        <v>38.030349999999999</v>
      </c>
      <c r="G327" s="434">
        <v>22</v>
      </c>
    </row>
    <row r="328" spans="1:7" ht="18.600000000000001" thickBot="1" x14ac:dyDescent="0.3">
      <c r="A328" s="433"/>
      <c r="B328" s="437">
        <v>12</v>
      </c>
      <c r="C328" s="437">
        <v>324</v>
      </c>
      <c r="D328" s="434">
        <v>34.770434000000002</v>
      </c>
      <c r="E328" s="434">
        <v>34.534970999999999</v>
      </c>
      <c r="F328" s="434">
        <v>35.049861999999997</v>
      </c>
      <c r="G328" s="434">
        <v>21</v>
      </c>
    </row>
    <row r="329" spans="1:7" ht="18.600000000000001" thickBot="1" x14ac:dyDescent="0.3">
      <c r="A329" s="433">
        <v>2023</v>
      </c>
      <c r="B329" s="437">
        <v>1</v>
      </c>
      <c r="C329" s="437">
        <v>325</v>
      </c>
      <c r="D329" s="434">
        <v>33.285955000000001</v>
      </c>
      <c r="E329" s="434">
        <v>32.724938000000002</v>
      </c>
      <c r="F329" s="434">
        <v>34.554900000000004</v>
      </c>
      <c r="G329" s="434">
        <v>22</v>
      </c>
    </row>
    <row r="330" spans="1:7" ht="18.600000000000001" thickBot="1" x14ac:dyDescent="0.3">
      <c r="A330" s="433"/>
      <c r="B330" s="437">
        <v>2</v>
      </c>
      <c r="C330" s="437">
        <v>326</v>
      </c>
      <c r="D330" s="434">
        <v>34.057673999999999</v>
      </c>
      <c r="E330" s="434">
        <v>32.790317000000002</v>
      </c>
      <c r="F330" s="434">
        <v>35.299934</v>
      </c>
      <c r="G330" s="434">
        <v>20</v>
      </c>
    </row>
    <row r="331" spans="1:7" ht="18.600000000000001" thickBot="1" x14ac:dyDescent="0.3">
      <c r="A331" s="433"/>
      <c r="B331" s="437">
        <v>3</v>
      </c>
      <c r="C331" s="437">
        <v>327</v>
      </c>
      <c r="D331" s="434">
        <v>34.480682000000002</v>
      </c>
      <c r="E331" s="434">
        <v>34.070169</v>
      </c>
      <c r="F331" s="434">
        <v>35.120334</v>
      </c>
      <c r="G331" s="434">
        <v>23</v>
      </c>
    </row>
    <row r="332" spans="1:7" ht="18.600000000000001" thickBot="1" x14ac:dyDescent="0.3">
      <c r="A332" s="433"/>
      <c r="B332" s="437">
        <v>4</v>
      </c>
      <c r="C332" s="437">
        <v>328</v>
      </c>
      <c r="D332" s="434">
        <v>34.235703999999998</v>
      </c>
      <c r="E332" s="434">
        <v>33.850090999999999</v>
      </c>
      <c r="F332" s="434">
        <v>34.490076000000002</v>
      </c>
      <c r="G332" s="434">
        <v>18</v>
      </c>
    </row>
    <row r="333" spans="1:7" ht="18.600000000000001" thickBot="1" x14ac:dyDescent="0.3">
      <c r="A333" s="433"/>
      <c r="B333" s="437">
        <v>5</v>
      </c>
      <c r="C333" s="437">
        <v>329</v>
      </c>
      <c r="D333" s="434">
        <v>34.202340999999997</v>
      </c>
      <c r="E333" s="434">
        <v>33.660274000000001</v>
      </c>
      <c r="F333" s="434">
        <v>34.759898999999997</v>
      </c>
      <c r="G333" s="434">
        <v>22</v>
      </c>
    </row>
    <row r="334" spans="1:7" ht="18.600000000000001" thickBot="1" x14ac:dyDescent="0.3">
      <c r="A334" s="433"/>
      <c r="B334" s="437">
        <v>6</v>
      </c>
      <c r="C334" s="437">
        <v>330</v>
      </c>
      <c r="D334" s="434">
        <v>34.917720000000003</v>
      </c>
      <c r="E334" s="434">
        <v>34.53998</v>
      </c>
      <c r="F334" s="434">
        <v>35.609800999999997</v>
      </c>
      <c r="G334" s="434">
        <v>22</v>
      </c>
    </row>
    <row r="335" spans="1:7" ht="18.600000000000001" thickBot="1" x14ac:dyDescent="0.3">
      <c r="A335" s="433"/>
      <c r="B335" s="437">
        <v>7</v>
      </c>
      <c r="C335" s="437">
        <v>331</v>
      </c>
      <c r="D335" s="434">
        <v>34.586652000000001</v>
      </c>
      <c r="E335" s="434">
        <v>33.959989</v>
      </c>
      <c r="F335" s="434">
        <v>35.229610999999998</v>
      </c>
      <c r="G335" s="434">
        <v>21</v>
      </c>
    </row>
    <row r="336" spans="1:7" ht="18.600000000000001" thickBot="1" x14ac:dyDescent="0.3">
      <c r="A336" s="433"/>
      <c r="B336" s="437">
        <v>8</v>
      </c>
      <c r="C336" s="437">
        <v>332</v>
      </c>
      <c r="D336" s="434">
        <v>35.013468000000003</v>
      </c>
      <c r="E336" s="434">
        <v>34.255242000000003</v>
      </c>
      <c r="F336" s="434">
        <v>35.389896</v>
      </c>
      <c r="G336" s="434">
        <v>23</v>
      </c>
    </row>
    <row r="337" spans="1:7" ht="18.600000000000001" thickBot="1" x14ac:dyDescent="0.3">
      <c r="A337" s="433"/>
      <c r="B337" s="437">
        <v>9</v>
      </c>
      <c r="C337" s="437">
        <v>333</v>
      </c>
      <c r="D337" s="434">
        <v>35.852397000000003</v>
      </c>
      <c r="E337" s="434">
        <v>34.964958000000003</v>
      </c>
      <c r="F337" s="434">
        <v>36.679951000000003</v>
      </c>
      <c r="G337" s="434">
        <v>21</v>
      </c>
    </row>
    <row r="338" spans="1:7" ht="18.600000000000001" thickBot="1" x14ac:dyDescent="0.3">
      <c r="A338" s="433"/>
      <c r="B338" s="437">
        <v>10</v>
      </c>
      <c r="C338" s="437">
        <v>334</v>
      </c>
      <c r="D338" s="434">
        <v>36.496450000000003</v>
      </c>
      <c r="E338" s="434">
        <v>35.900047000000001</v>
      </c>
      <c r="F338" s="434">
        <v>37.110436</v>
      </c>
      <c r="G338" s="434">
        <v>22</v>
      </c>
    </row>
    <row r="339" spans="1:7" ht="18.600000000000001" thickBot="1" x14ac:dyDescent="0.3">
      <c r="A339" s="433"/>
      <c r="B339" s="437">
        <v>11</v>
      </c>
      <c r="C339" s="437">
        <v>335</v>
      </c>
      <c r="D339" s="434">
        <v>35.465224999999997</v>
      </c>
      <c r="E339" s="434">
        <v>34.800182</v>
      </c>
      <c r="F339" s="434">
        <v>36.200057000000001</v>
      </c>
      <c r="G339" s="434">
        <v>22</v>
      </c>
    </row>
    <row r="340" spans="1:7" ht="18.600000000000001" thickBot="1" x14ac:dyDescent="0.3">
      <c r="A340" s="433"/>
      <c r="B340" s="437">
        <v>12</v>
      </c>
      <c r="C340" s="437">
        <v>336</v>
      </c>
      <c r="D340" s="434">
        <v>35.017592999999998</v>
      </c>
      <c r="E340" s="434">
        <v>34.190210999999998</v>
      </c>
      <c r="F340" s="434">
        <v>35.794938000000002</v>
      </c>
      <c r="G340" s="434">
        <v>19</v>
      </c>
    </row>
    <row r="341" spans="1:7" ht="18.600000000000001" thickBot="1" x14ac:dyDescent="0.3">
      <c r="A341" s="433">
        <v>2024</v>
      </c>
      <c r="B341" s="437">
        <v>1</v>
      </c>
      <c r="C341" s="437">
        <v>337</v>
      </c>
      <c r="D341" s="434">
        <v>35.214576000000001</v>
      </c>
      <c r="E341" s="434">
        <v>34.285322999999998</v>
      </c>
      <c r="F341" s="434">
        <v>35.734876</v>
      </c>
      <c r="G341" s="434">
        <v>22</v>
      </c>
    </row>
    <row r="342" spans="1:7" ht="18.600000000000001" thickBot="1" x14ac:dyDescent="0.3">
      <c r="A342" s="433"/>
      <c r="B342" s="437">
        <v>2</v>
      </c>
      <c r="C342" s="437">
        <v>338</v>
      </c>
      <c r="D342" s="434">
        <v>35.860019000000001</v>
      </c>
      <c r="E342" s="434">
        <v>35.230176</v>
      </c>
      <c r="F342" s="434">
        <v>36.180342000000003</v>
      </c>
      <c r="G342" s="434">
        <v>21</v>
      </c>
    </row>
    <row r="343" spans="1:7" ht="18.600000000000001" thickBot="1" x14ac:dyDescent="0.3">
      <c r="A343" s="433"/>
      <c r="B343" s="437">
        <v>3</v>
      </c>
      <c r="C343" s="437">
        <v>339</v>
      </c>
      <c r="D343" s="434">
        <v>35.944986999999998</v>
      </c>
      <c r="E343" s="434">
        <v>35.410030999999996</v>
      </c>
      <c r="F343" s="434">
        <v>36.455461999999997</v>
      </c>
      <c r="G343" s="434">
        <v>20</v>
      </c>
    </row>
    <row r="344" spans="1:7" ht="18.600000000000001" thickBot="1" x14ac:dyDescent="0.3">
      <c r="A344" s="433"/>
      <c r="B344" s="437">
        <v>4</v>
      </c>
      <c r="C344" s="437">
        <v>340</v>
      </c>
      <c r="D344" s="434">
        <v>36.778598000000002</v>
      </c>
      <c r="E344" s="434">
        <v>36.375264999999999</v>
      </c>
      <c r="F344" s="434">
        <v>37.070349</v>
      </c>
      <c r="G344" s="434">
        <v>21</v>
      </c>
    </row>
    <row r="345" spans="1:7" ht="18.600000000000001" thickBot="1" x14ac:dyDescent="0.3">
      <c r="A345" s="433"/>
      <c r="B345" s="437">
        <v>5</v>
      </c>
      <c r="C345" s="437">
        <v>341</v>
      </c>
      <c r="D345" s="434">
        <v>36.632012000000003</v>
      </c>
      <c r="E345" s="434">
        <v>36.105331</v>
      </c>
      <c r="F345" s="434">
        <v>36.970120000000001</v>
      </c>
      <c r="G345" s="434">
        <v>22</v>
      </c>
    </row>
    <row r="346" spans="1:7" ht="18.600000000000001" thickBot="1" x14ac:dyDescent="0.3">
      <c r="A346" s="433"/>
      <c r="B346" s="437">
        <v>6</v>
      </c>
      <c r="C346" s="437">
        <v>342</v>
      </c>
      <c r="D346" s="434">
        <v>36.712927999999998</v>
      </c>
      <c r="E346" s="434">
        <v>36.480088000000002</v>
      </c>
      <c r="F346" s="434">
        <v>36.854709999999997</v>
      </c>
      <c r="G346" s="434">
        <v>20</v>
      </c>
    </row>
    <row r="347" spans="1:7" ht="18.600000000000001" thickBot="1" x14ac:dyDescent="0.3">
      <c r="A347" s="433"/>
      <c r="B347" s="437">
        <v>7</v>
      </c>
      <c r="C347" s="437">
        <v>343</v>
      </c>
      <c r="D347" s="434">
        <v>36.263677999999999</v>
      </c>
      <c r="E347" s="434">
        <v>35.675102000000003</v>
      </c>
      <c r="F347" s="434">
        <v>36.840339</v>
      </c>
      <c r="G347" s="434">
        <v>23</v>
      </c>
    </row>
    <row r="348" spans="1:7" ht="18.600000000000001" thickBot="1" x14ac:dyDescent="0.3">
      <c r="A348" s="433"/>
      <c r="B348" s="437">
        <v>8</v>
      </c>
      <c r="C348" s="437">
        <v>344</v>
      </c>
      <c r="D348" s="434">
        <v>34.751125999999999</v>
      </c>
      <c r="E348" s="434">
        <v>33.860377</v>
      </c>
      <c r="F348" s="434">
        <v>35.600147999999997</v>
      </c>
      <c r="G348" s="434">
        <v>22</v>
      </c>
    </row>
    <row r="349" spans="1:7" ht="18.600000000000001" thickBot="1" x14ac:dyDescent="0.3">
      <c r="A349" s="433"/>
      <c r="B349" s="437">
        <v>9</v>
      </c>
      <c r="C349" s="437">
        <v>345</v>
      </c>
      <c r="D349" s="434">
        <v>33.328834000000001</v>
      </c>
      <c r="E349" s="434">
        <v>32.249910999999997</v>
      </c>
      <c r="F349" s="434">
        <v>34.284548999999998</v>
      </c>
      <c r="G349" s="434">
        <v>21</v>
      </c>
    </row>
    <row r="350" spans="1:7" ht="18.600000000000001" thickBot="1" x14ac:dyDescent="0.3">
      <c r="A350" s="433"/>
      <c r="B350" s="437">
        <v>10</v>
      </c>
      <c r="C350" s="437">
        <v>346</v>
      </c>
      <c r="D350" s="434">
        <v>33.393439000000001</v>
      </c>
      <c r="E350" s="434">
        <v>32.585242999999998</v>
      </c>
      <c r="F350" s="434">
        <v>33.785038</v>
      </c>
      <c r="G350" s="434">
        <v>23</v>
      </c>
    </row>
    <row r="351" spans="1:7" ht="18.600000000000001" thickBot="1" x14ac:dyDescent="0.3">
      <c r="A351" s="433"/>
      <c r="B351" s="437">
        <v>11</v>
      </c>
      <c r="C351" s="437">
        <v>347</v>
      </c>
      <c r="D351" s="434">
        <v>34.430951999999998</v>
      </c>
      <c r="E351" s="434">
        <v>33.634945000000002</v>
      </c>
      <c r="F351" s="434">
        <v>35.020412</v>
      </c>
      <c r="G351" s="434">
        <v>21</v>
      </c>
    </row>
    <row r="352" spans="1:7" ht="18.600000000000001" thickBot="1" x14ac:dyDescent="0.3">
      <c r="A352" s="433"/>
      <c r="B352" s="437">
        <v>12</v>
      </c>
      <c r="C352" s="437">
        <v>348</v>
      </c>
      <c r="D352" s="434">
        <v>34.158951999999999</v>
      </c>
      <c r="E352" s="434">
        <v>33.739590999999997</v>
      </c>
      <c r="F352" s="434">
        <v>34.580086999999999</v>
      </c>
      <c r="G352" s="434">
        <v>20</v>
      </c>
    </row>
    <row r="353" spans="1:7" ht="18.600000000000001" thickBot="1" x14ac:dyDescent="0.3">
      <c r="A353" s="433">
        <v>2025</v>
      </c>
      <c r="B353" s="437">
        <v>1</v>
      </c>
      <c r="C353" s="437">
        <v>349</v>
      </c>
      <c r="D353" s="434">
        <v>34.235489999999999</v>
      </c>
      <c r="E353" s="434">
        <v>33.594726999999999</v>
      </c>
      <c r="F353" s="434">
        <v>34.775446000000002</v>
      </c>
      <c r="G353" s="434">
        <v>22</v>
      </c>
    </row>
    <row r="354" spans="1:7" ht="18.600000000000001" thickBot="1" x14ac:dyDescent="0.3">
      <c r="A354" s="433"/>
      <c r="B354" s="437">
        <v>2</v>
      </c>
      <c r="C354" s="437">
        <v>350</v>
      </c>
      <c r="D354" s="434">
        <v>33.795239000000002</v>
      </c>
      <c r="E354" s="434">
        <v>33.504682000000003</v>
      </c>
      <c r="F354" s="434">
        <v>34.162905000000002</v>
      </c>
      <c r="G354" s="434">
        <v>20</v>
      </c>
    </row>
    <row r="355" spans="1:7" ht="18.600000000000001" thickBot="1" x14ac:dyDescent="0.3">
      <c r="A355" s="433"/>
      <c r="B355" s="437">
        <v>3</v>
      </c>
      <c r="C355" s="437">
        <v>351</v>
      </c>
      <c r="D355" s="434">
        <v>33.796075000000002</v>
      </c>
      <c r="E355" s="434">
        <v>33.564754999999998</v>
      </c>
      <c r="F355" s="434">
        <v>34.105111999999998</v>
      </c>
      <c r="G355" s="434">
        <v>21</v>
      </c>
    </row>
    <row r="356" spans="1:7" ht="18.600000000000001" thickBot="1" x14ac:dyDescent="0.3">
      <c r="A356" s="433"/>
      <c r="B356" s="437">
        <v>4</v>
      </c>
      <c r="C356" s="437">
        <v>352</v>
      </c>
      <c r="D356" s="434">
        <v>33.789501000000001</v>
      </c>
      <c r="E356" s="434">
        <v>33.215324000000003</v>
      </c>
      <c r="F356" s="434">
        <v>34.690410999999997</v>
      </c>
      <c r="G356" s="434">
        <v>20</v>
      </c>
    </row>
    <row r="357" spans="1:7" ht="18.600000000000001" thickBot="1" x14ac:dyDescent="0.3">
      <c r="A357" s="433"/>
      <c r="B357" s="437">
        <v>5</v>
      </c>
      <c r="C357" s="437">
        <v>353</v>
      </c>
      <c r="D357" s="434">
        <v>32.935850000000002</v>
      </c>
      <c r="E357" s="434">
        <v>32.544908</v>
      </c>
      <c r="F357" s="434">
        <v>33.484603</v>
      </c>
      <c r="G357" s="434">
        <v>21</v>
      </c>
    </row>
    <row r="358" spans="1:7" ht="18.600000000000001" thickBot="1" x14ac:dyDescent="0.3">
      <c r="A358" s="433"/>
      <c r="B358" s="437">
        <v>6</v>
      </c>
      <c r="C358" s="437">
        <v>354</v>
      </c>
      <c r="D358" s="434">
        <v>32.619926</v>
      </c>
      <c r="E358" s="434">
        <v>32.544880999999997</v>
      </c>
      <c r="F358" s="434">
        <v>32.715214000000003</v>
      </c>
      <c r="G358" s="434">
        <v>3</v>
      </c>
    </row>
  </sheetData>
  <sortState xmlns:xlrd2="http://schemas.microsoft.com/office/spreadsheetml/2017/richdata2" ref="G5:K358">
    <sortCondition ref="G5:G358"/>
  </sortState>
  <mergeCells count="5">
    <mergeCell ref="D3:F3"/>
    <mergeCell ref="A3:A4"/>
    <mergeCell ref="B3:B4"/>
    <mergeCell ref="C3:C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Quantity Value</vt:lpstr>
      <vt:lpstr>Quantity of Aquatic Animals</vt:lpstr>
      <vt:lpstr>Exchange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Sopida Tuammee</dc:creator>
  <cp:lastModifiedBy>SOPIDA TUAMMEE</cp:lastModifiedBy>
  <cp:lastPrinted>2025-05-18T07:40:41Z</cp:lastPrinted>
  <dcterms:created xsi:type="dcterms:W3CDTF">2025-05-15T02:55:29Z</dcterms:created>
  <dcterms:modified xsi:type="dcterms:W3CDTF">2025-06-05T06:10:02Z</dcterms:modified>
</cp:coreProperties>
</file>